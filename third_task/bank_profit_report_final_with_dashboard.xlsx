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Григорий\Desktop\Central_bank_test\third_task\"/>
    </mc:Choice>
  </mc:AlternateContent>
  <xr:revisionPtr revIDLastSave="0" documentId="13_ncr:1_{F9B2904D-6785-4DF3-8FAA-D13ED15EA7A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shboard" sheetId="3" r:id="rId1"/>
    <sheet name="data" sheetId="1" r:id="rId2"/>
    <sheet name="validation" sheetId="2" r:id="rId3"/>
  </sheets>
  <definedNames>
    <definedName name="_xlnm._FilterDatabase" localSheetId="1" hidden="1">data!$A$1:$G$431</definedName>
    <definedName name="bank_names">data!$B$2:$B$431</definedName>
    <definedName name="profit_abs">data!$C$2:$C$431</definedName>
    <definedName name="profit_mom">data!$F$2:$F$431</definedName>
    <definedName name="profit_yoy">data!$G$2:$G$431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3" l="1"/>
  <c r="B9" i="3"/>
  <c r="B10" i="3"/>
  <c r="B11" i="3"/>
  <c r="B12" i="3"/>
  <c r="B13" i="3"/>
  <c r="B14" i="3"/>
  <c r="B15" i="3"/>
  <c r="B16" i="3"/>
  <c r="B7" i="3"/>
  <c r="C4" i="3"/>
  <c r="D7" i="3" s="1"/>
  <c r="D15" i="3" l="1"/>
  <c r="C15" i="3" s="1"/>
  <c r="D14" i="3"/>
  <c r="C14" i="3" s="1"/>
  <c r="D13" i="3"/>
  <c r="C13" i="3" s="1"/>
  <c r="D12" i="3"/>
  <c r="C12" i="3" s="1"/>
  <c r="D11" i="3"/>
  <c r="C11" i="3" s="1"/>
  <c r="D10" i="3"/>
  <c r="C10" i="3" s="1"/>
  <c r="D9" i="3"/>
  <c r="C9" i="3" s="1"/>
  <c r="D8" i="3"/>
  <c r="C8" i="3" s="1"/>
  <c r="D16" i="3"/>
  <c r="C16" i="3" s="1"/>
  <c r="C7" i="3"/>
</calcChain>
</file>

<file path=xl/sharedStrings.xml><?xml version="1.0" encoding="utf-8"?>
<sst xmlns="http://schemas.openxmlformats.org/spreadsheetml/2006/main" count="454" uniqueCount="454">
  <si>
    <t>REGN</t>
  </si>
  <si>
    <t>Банк</t>
  </si>
  <si>
    <t>Абс. прибыль, май 2021, млрд ₽</t>
  </si>
  <si>
    <t>Прибыль, апрель 2021, млрд ₽</t>
  </si>
  <si>
    <t>Прибыль, май 2020, млрд ₽</t>
  </si>
  <si>
    <t>MoM прирост, млрд ₽</t>
  </si>
  <si>
    <t>YoY прирост, млрд ₽</t>
  </si>
  <si>
    <t>АО ЮниКредит Банк</t>
  </si>
  <si>
    <t>АО "КАБ "Викинг"</t>
  </si>
  <si>
    <t>ООО "Примтеркомбанк"</t>
  </si>
  <si>
    <t>ПАО "Энергомашбанк"</t>
  </si>
  <si>
    <t>ПАО Банк "АЛЕКСАНДРОВСКИЙ"</t>
  </si>
  <si>
    <t>ООО КБ "КОЛЬЦО УРАЛА"</t>
  </si>
  <si>
    <t>АКБ "Энергобанк" (АО)</t>
  </si>
  <si>
    <t>МОРСКОЙ БАНК (АО)</t>
  </si>
  <si>
    <t>ПАО КБ "САММИТ БАНК"</t>
  </si>
  <si>
    <t>АО "БКС Банк"</t>
  </si>
  <si>
    <t>ПАО КБ "Сельмашбанк"</t>
  </si>
  <si>
    <t>АО АКБ "ЦентроКредит"</t>
  </si>
  <si>
    <t>АО "РН Банк"</t>
  </si>
  <si>
    <t>Прио-Внешторгбанк (ПАО)</t>
  </si>
  <si>
    <t>[REGN 232]</t>
  </si>
  <si>
    <t>ООО "СПЕЦСТРОЙБАНК"</t>
  </si>
  <si>
    <t>АО КБ "Урал ФД"</t>
  </si>
  <si>
    <t>АО КБ "Хлынов"</t>
  </si>
  <si>
    <t>АО "ГУТА-БАНК"</t>
  </si>
  <si>
    <t>[REGN 272]</t>
  </si>
  <si>
    <t>ООО "ХКФ Банк"</t>
  </si>
  <si>
    <t>АО "АБ "РОССИЯ"</t>
  </si>
  <si>
    <t>ООО Банк "Саратов"</t>
  </si>
  <si>
    <t>Банк ГПБ (АО)</t>
  </si>
  <si>
    <t>ПАО "Витабанк"</t>
  </si>
  <si>
    <t>НКО "ЕРП" (ООО)</t>
  </si>
  <si>
    <t>ООО Банк "Аверс"</t>
  </si>
  <si>
    <t>ПАО КБ "УБРиР"</t>
  </si>
  <si>
    <t>ПАО "Бест Эффортс Банк"</t>
  </si>
  <si>
    <t>ПАО "Банк "Санкт-Петербург"</t>
  </si>
  <si>
    <t>ООО "Камкомбанк"</t>
  </si>
  <si>
    <t>АО "БАЛАКОВО-БАНК"</t>
  </si>
  <si>
    <t>АО "Кубаньторгбанк"</t>
  </si>
  <si>
    <t>АО "ТАТСОЦБАНК"</t>
  </si>
  <si>
    <t>ООО КБ "РостФинанс"</t>
  </si>
  <si>
    <t>ПАО "ЧЕЛИНДБАНК"</t>
  </si>
  <si>
    <t>ПАО "Донкомбанк"</t>
  </si>
  <si>
    <t>ПАО "ЧЕЛЯБИНВЕСТБАНК"</t>
  </si>
  <si>
    <t>АО РНКО "ХОЛМСК"</t>
  </si>
  <si>
    <t>[REGN 520]</t>
  </si>
  <si>
    <t>АО Банк "Венец"</t>
  </si>
  <si>
    <t>АО КБ "Приобье"</t>
  </si>
  <si>
    <t>ООО "Промсельхозбанк"</t>
  </si>
  <si>
    <t>АО КБ "Солидарность"</t>
  </si>
  <si>
    <t>АО "Банк Акцепт"</t>
  </si>
  <si>
    <t>ООО "ЗЕМКОМБАНК"</t>
  </si>
  <si>
    <t>АО АБ "Капитал"</t>
  </si>
  <si>
    <t>АО БАНК "СНГБ"</t>
  </si>
  <si>
    <t>АО "Великие Луки банк"</t>
  </si>
  <si>
    <t>Банк ИПБ (АО)</t>
  </si>
  <si>
    <t>АО "Первый Инвестиционный Банк"</t>
  </si>
  <si>
    <t>ПАО Банк "Кузнецкий"</t>
  </si>
  <si>
    <t>АО "Датабанк"</t>
  </si>
  <si>
    <t>АО "Почта Банк"</t>
  </si>
  <si>
    <t>ООО КБ "ГТ банк"</t>
  </si>
  <si>
    <t>ПАО КБ "РусьРегионБанк"</t>
  </si>
  <si>
    <t>Банк "Нальчик" ООО</t>
  </si>
  <si>
    <t>ПАО "НИКО-БАНК"</t>
  </si>
  <si>
    <t>ПАО "СКБ-банк"</t>
  </si>
  <si>
    <t>ООО КБЭР "Банк Казани"</t>
  </si>
  <si>
    <t>АО УКБ "Белгородсоцбанк"</t>
  </si>
  <si>
    <t>ООО "РУСБС"</t>
  </si>
  <si>
    <t>АО "Роял Кредит Банк"</t>
  </si>
  <si>
    <t>[REGN 784]</t>
  </si>
  <si>
    <t>АО НКБ "СЛАВЯНБАНК"</t>
  </si>
  <si>
    <t>"Банк Заречье" (АО)</t>
  </si>
  <si>
    <t>ООО "Банк Стандарт-Кредит"</t>
  </si>
  <si>
    <t>ООО КБ "Кетовский"</t>
  </si>
  <si>
    <t>АО "Дальневосточный банк"</t>
  </si>
  <si>
    <t>КБ "Долинск" (АО)</t>
  </si>
  <si>
    <t>[REGN 874]</t>
  </si>
  <si>
    <t>Банк Пермь (АО)</t>
  </si>
  <si>
    <t>ПАО "Норвик Банк"</t>
  </si>
  <si>
    <t>АО "ВЛАДБИЗНЕСБАНК"</t>
  </si>
  <si>
    <t>ПАО "МИнБанк"</t>
  </si>
  <si>
    <t>ПАО "Запсибкомбанк"</t>
  </si>
  <si>
    <t>АО "Банк "Торжок"</t>
  </si>
  <si>
    <t>АО "ОРБАНК"</t>
  </si>
  <si>
    <t>ПАО "Совкомбанк"</t>
  </si>
  <si>
    <t>АО "ПЕРВОУРАЛЬСКБАНК"</t>
  </si>
  <si>
    <t>АО "Евразийский банк"</t>
  </si>
  <si>
    <t>ООО КБ "Дружба"</t>
  </si>
  <si>
    <t>Банк ВТБ (ПАО)</t>
  </si>
  <si>
    <t>КБ "ОБР" (ООО)</t>
  </si>
  <si>
    <t>[REGN 1027]</t>
  </si>
  <si>
    <t>ООО КБ "Гефест"</t>
  </si>
  <si>
    <t>ООО "Хакасский муниципальный банк"</t>
  </si>
  <si>
    <t>АО "МТИ Банк"</t>
  </si>
  <si>
    <t>АО "РЕАЛИСТ БАНК"</t>
  </si>
  <si>
    <t>КБ "Спутник" (ПАО)</t>
  </si>
  <si>
    <t>АО Банк "ККБ"</t>
  </si>
  <si>
    <t>ПАО Комбанк "Химик"</t>
  </si>
  <si>
    <t>ООО "Костромаселькомбанк"</t>
  </si>
  <si>
    <t>[REGN 1136]</t>
  </si>
  <si>
    <t>ООО "ФФИН Банк"</t>
  </si>
  <si>
    <t>"Братский АНКБ" АО</t>
  </si>
  <si>
    <t>ООО КБ "Калуга"</t>
  </si>
  <si>
    <t>АО "Кузнецкбизнесбанк"</t>
  </si>
  <si>
    <t>ПАО "КВАНТ МОБАЙЛ БАНК"</t>
  </si>
  <si>
    <t>АО комбанк "Арзамас"</t>
  </si>
  <si>
    <t>ПАО Ставропольпромстройбанк</t>
  </si>
  <si>
    <t>АО КБ "ВАКОБАНК"</t>
  </si>
  <si>
    <t>[REGN 1293]</t>
  </si>
  <si>
    <t>КБ "ЭНЕРГОТРАНСБАНК" (АО)</t>
  </si>
  <si>
    <t>[REGN 1309]</t>
  </si>
  <si>
    <t>АО Банк "ТКПБ"</t>
  </si>
  <si>
    <t>[REGN 1317]</t>
  </si>
  <si>
    <t>АО "Экономбанк"</t>
  </si>
  <si>
    <t>АО "АЛЬФА-БАНК"</t>
  </si>
  <si>
    <t>АО "Солид Банк"</t>
  </si>
  <si>
    <t>Банк "Левобережный" (ПАО)</t>
  </si>
  <si>
    <t>ПАО УКБ "Новобанк"</t>
  </si>
  <si>
    <t>РНКБ Банк (ПАО)</t>
  </si>
  <si>
    <t>ООО КБ "Уралфинанс"</t>
  </si>
  <si>
    <t>Банк "Снежинский" АО</t>
  </si>
  <si>
    <t>ООО банк "Элита"</t>
  </si>
  <si>
    <t>[REGN 1405]</t>
  </si>
  <si>
    <t>Банк "Возрождение" (ПАО)</t>
  </si>
  <si>
    <t>АО "Автоградбанк"</t>
  </si>
  <si>
    <t>ПАО КБ "Восточный"</t>
  </si>
  <si>
    <t>[REGN 1470]</t>
  </si>
  <si>
    <t>ООО НДКО Лэнд Кредит</t>
  </si>
  <si>
    <t>ПАО Сбербанк</t>
  </si>
  <si>
    <t>АО "ВУЗ-банк"</t>
  </si>
  <si>
    <t>ПАО "РосДорБанк"</t>
  </si>
  <si>
    <t>[REGN 1614]</t>
  </si>
  <si>
    <t>"СДМ-Банк" (ПАО)</t>
  </si>
  <si>
    <t>ООО Банк Оранжевый</t>
  </si>
  <si>
    <t>[REGN 1673]</t>
  </si>
  <si>
    <t>Креди Агриколь КИБ АО</t>
  </si>
  <si>
    <t>ПАО "Томскпромстройбанк"</t>
  </si>
  <si>
    <t>АО "ИК Банк"</t>
  </si>
  <si>
    <t>ПАО "БыстроБанк"</t>
  </si>
  <si>
    <t>ООО "НОВОКИБ"</t>
  </si>
  <si>
    <t>ПАО МОСОБЛБАНК</t>
  </si>
  <si>
    <t>АО "КС БАНК"</t>
  </si>
  <si>
    <t>АО ЕАТПБанк</t>
  </si>
  <si>
    <t>АО КИБ "ЕВРОАЛЬЯНС"</t>
  </si>
  <si>
    <t>АО АКИБ "Почтобанк"</t>
  </si>
  <si>
    <t>[REGN 1792]</t>
  </si>
  <si>
    <t>АО БАНК "Ермак"</t>
  </si>
  <si>
    <t>"Азиатско-Тихоокеанский Банк" (АО)</t>
  </si>
  <si>
    <t>МКБ "Дон-Тексбанк" ООО</t>
  </si>
  <si>
    <t>ООО "Инбанк"</t>
  </si>
  <si>
    <t>АКБ "ФОРА-БАНК" (АО)</t>
  </si>
  <si>
    <t>АО "Банк "Вологжанин"</t>
  </si>
  <si>
    <t>[REGN 1902]</t>
  </si>
  <si>
    <t>АКБ "Ланта-Банк" (АО)</t>
  </si>
  <si>
    <t>[REGN 1926]</t>
  </si>
  <si>
    <t>АО КБ "Модульбанк"</t>
  </si>
  <si>
    <t>ООО МИБ "ДАЛЕНА"</t>
  </si>
  <si>
    <t>АО БАНК НБС</t>
  </si>
  <si>
    <t>ПАО "НБД-Банк"</t>
  </si>
  <si>
    <t>ООО "АвтоКредитБанк"</t>
  </si>
  <si>
    <t>ПАО "МОСКОВСКИЙ КРЕДИТНЫЙ БАНК"</t>
  </si>
  <si>
    <t>"СИБСОЦБАНК" ООО</t>
  </si>
  <si>
    <t>[REGN 2027]</t>
  </si>
  <si>
    <t>Банк "СЕРВИС РЕЗЕРВ" (АО)</t>
  </si>
  <si>
    <t>АО "САРОВБИЗНЕСБАНК"</t>
  </si>
  <si>
    <t>[REGN 2053]</t>
  </si>
  <si>
    <t>[REGN 2063]</t>
  </si>
  <si>
    <t>ООО "ЖИВАГО БАНК"</t>
  </si>
  <si>
    <t>ООО "АЛТЫНБАНК"</t>
  </si>
  <si>
    <t>ООО КБ "Тайдон"</t>
  </si>
  <si>
    <t>"Муниципальный Камчатпрофитбанк" (АО)</t>
  </si>
  <si>
    <t>АКБ "ПЕРЕСВЕТ" (ПАО)</t>
  </si>
  <si>
    <t>АО АКБ "Алеф-Банк"</t>
  </si>
  <si>
    <t>АО "СЕВЗАПИНВЕСТПРОМБАНК"</t>
  </si>
  <si>
    <t>[REGN 2156]</t>
  </si>
  <si>
    <t>"Сетелем Банк" ООО</t>
  </si>
  <si>
    <t>АКБ "НРБанк" (АО)</t>
  </si>
  <si>
    <t>АКБ "Форштадт" (АО)</t>
  </si>
  <si>
    <t>ПАО Банк "ФК Открытие"</t>
  </si>
  <si>
    <t>ТКБ БАНК ПАО</t>
  </si>
  <si>
    <t>АО "Банк Интеза"</t>
  </si>
  <si>
    <t>ПАО КБ "Центр-инвест"</t>
  </si>
  <si>
    <t>КИВИ Банк (АО)</t>
  </si>
  <si>
    <t>АО КБ "КОСМОС"</t>
  </si>
  <si>
    <t>[REGN 2249]</t>
  </si>
  <si>
    <t>АКБ "ТЕНДЕР-БАНК" (АО)</t>
  </si>
  <si>
    <t>[REGN 2254]</t>
  </si>
  <si>
    <t>ПАО "МТС-Банк"</t>
  </si>
  <si>
    <t>ПАО РОСБАНК</t>
  </si>
  <si>
    <t>ПАО "БАНК УРАЛСИБ"</t>
  </si>
  <si>
    <t>АО "Банк Русский Стандарт"</t>
  </si>
  <si>
    <t>Таврический Банк (АО)</t>
  </si>
  <si>
    <t>АКБ "Абсолют Банк" (ПАО)</t>
  </si>
  <si>
    <t>Банк СОЮЗ (АО)</t>
  </si>
  <si>
    <t>АКБ "БЭНК ОФ ЧАЙНА" (АО)</t>
  </si>
  <si>
    <t>АО "Банк ДОМ.РФ"</t>
  </si>
  <si>
    <t>ООО КБ "ПЛАТИНА"</t>
  </si>
  <si>
    <t>Инвестиционный Банк "ВЕСТА" (ООО)</t>
  </si>
  <si>
    <t>АО "НДБанк"</t>
  </si>
  <si>
    <t>Банк "ИТУРУП" (ООО)</t>
  </si>
  <si>
    <t>ООО КБ "МВС Банк"</t>
  </si>
  <si>
    <t>[REGN 2433]</t>
  </si>
  <si>
    <t>Банк Глобус (АО)</t>
  </si>
  <si>
    <t>ПАО АКБ "Металлинвестбанк"</t>
  </si>
  <si>
    <t>ПАО "МЕТКОМБАНК"</t>
  </si>
  <si>
    <t>[REGN 2484]</t>
  </si>
  <si>
    <t>АО "ГЕНБАНК"</t>
  </si>
  <si>
    <t>АО "Банк Кредит Свисс (Москва)"</t>
  </si>
  <si>
    <t>ИНГ БАНК (ЕВРАЗИЯ) АО</t>
  </si>
  <si>
    <t>ООО "Крона-Банк"</t>
  </si>
  <si>
    <t>ООО "банк Раунд"</t>
  </si>
  <si>
    <t>АО "Тольяттихимбанк"</t>
  </si>
  <si>
    <t>КБ "Кубань Кредит" ООО</t>
  </si>
  <si>
    <t>[REGN 2524]</t>
  </si>
  <si>
    <t>АО "АКТИВ БАНК"</t>
  </si>
  <si>
    <t>ЭКСИ-Банк (АО)</t>
  </si>
  <si>
    <t>АО КБ "Пойд╕м!"</t>
  </si>
  <si>
    <t>АО АКБ "НОВИКОМБАНК"</t>
  </si>
  <si>
    <t>АО Банк "ПСКБ"</t>
  </si>
  <si>
    <t>АО КБ "Ситибанк"</t>
  </si>
  <si>
    <t>"ЗИРААТ БАНК (МОСКВА)" (АО)</t>
  </si>
  <si>
    <t>ИКБР "ЯРИНТЕРБАНК" (ООО)</t>
  </si>
  <si>
    <t>ООО БАНК "КУРГАН"</t>
  </si>
  <si>
    <t>Банк РМП (АО)</t>
  </si>
  <si>
    <t>КБ "Гарант-Инвест" (АО)</t>
  </si>
  <si>
    <t>Банк "КУБ" (АО)</t>
  </si>
  <si>
    <t>ПАО "АКИБАНК"</t>
  </si>
  <si>
    <t>ПАО "АК БАРС" БАНК</t>
  </si>
  <si>
    <t>[REGN 2593]</t>
  </si>
  <si>
    <t>АКБ "Алмазэргиэнбанк" АО</t>
  </si>
  <si>
    <t>АО "Кросна-Банк"</t>
  </si>
  <si>
    <t>АО "ИТ Банк"</t>
  </si>
  <si>
    <t>АО Банк "Объединенный капитал"</t>
  </si>
  <si>
    <t>АО АКБ "МЕЖДУНАРОДНЫЙ ФИНАНСОВЫЙ КЛУБ"</t>
  </si>
  <si>
    <t>КБ "Дж.П. Морган Банк Интернешнл" (ООО)</t>
  </si>
  <si>
    <t>Банк ПТБ (ООО)</t>
  </si>
  <si>
    <t>АО АИКБ "Енисейский объединенный банк"</t>
  </si>
  <si>
    <t>[REGN 2646]</t>
  </si>
  <si>
    <t>АКБ "НООСФЕРА" (АО)</t>
  </si>
  <si>
    <t>ООО КБ "Алтайкапиталбанк"</t>
  </si>
  <si>
    <t>АКБ "СЛАВИЯ" (АО)</t>
  </si>
  <si>
    <t>АО "Тинькофф Банк"</t>
  </si>
  <si>
    <t>КБ "Крокус-Банк" (ООО)</t>
  </si>
  <si>
    <t>ООО "Банк БКФ"</t>
  </si>
  <si>
    <t>КБ "ЛОКО-Банк" (АО)</t>
  </si>
  <si>
    <t>"Северный Народный Банк" (АО)</t>
  </si>
  <si>
    <t>БАНК "МСКБ" (АО)</t>
  </si>
  <si>
    <t>ООО "НКО "Вестерн Юнион ДП Восток"</t>
  </si>
  <si>
    <t>ПАО СКБ Приморья "Примсоцбанк"</t>
  </si>
  <si>
    <t>АКБ "Держава" ПАО</t>
  </si>
  <si>
    <t>АО "БМ-Банк"</t>
  </si>
  <si>
    <t>[REGN 2749]</t>
  </si>
  <si>
    <t>АО "НК Банк"</t>
  </si>
  <si>
    <t>[REGN 2756]</t>
  </si>
  <si>
    <t>РНКО "ПРОМСВЯЗЬИНВЕСТ" (ООО)</t>
  </si>
  <si>
    <t>ИНВЕСТТОРГБАНК АО</t>
  </si>
  <si>
    <t>[REGN 2764]</t>
  </si>
  <si>
    <t>АО "ОТП Банк"</t>
  </si>
  <si>
    <t>ЮГ-Инвестбанк (ПАО)</t>
  </si>
  <si>
    <t>ООО "АТБ" Банк</t>
  </si>
  <si>
    <t>АО МС Банк Рус</t>
  </si>
  <si>
    <t>АО РОСЭКСИМБАНК</t>
  </si>
  <si>
    <t>Банк "Вятич" (ПАО)</t>
  </si>
  <si>
    <t>АО "Банк ФИНАМ"</t>
  </si>
  <si>
    <t>Банк "Йошкар-Ола" (ПАО)</t>
  </si>
  <si>
    <t>АКБ "Трансстройбанк" (АО)</t>
  </si>
  <si>
    <t>АО "БАНК СГБ"</t>
  </si>
  <si>
    <t>АО КБ "Соколовский"</t>
  </si>
  <si>
    <t>ООО КБ "СИНКО-БАНК"</t>
  </si>
  <si>
    <t>КБ "СИСТЕМА" ООО</t>
  </si>
  <si>
    <t>ООО КБ "Столичный Кредит"</t>
  </si>
  <si>
    <t>(АО "Банк "Агророс")</t>
  </si>
  <si>
    <t>АО "ИШБАНК"</t>
  </si>
  <si>
    <t>АКБ "Кузбассхимбанк" (ПАО)</t>
  </si>
  <si>
    <t>АО КБ "НИБ"</t>
  </si>
  <si>
    <t>ООО РНКО "Металлург"</t>
  </si>
  <si>
    <t>ПАО АКБ "АВАНГАРД"</t>
  </si>
  <si>
    <t>АО КБ "АГРОПРОМКРЕДИТ"</t>
  </si>
  <si>
    <t>"СОЦИУМ-БАНК" (ООО)</t>
  </si>
  <si>
    <t>"БСТ-БАНК" АО</t>
  </si>
  <si>
    <t>АО РНКО "Синергия"</t>
  </si>
  <si>
    <t>[REGN 2897]</t>
  </si>
  <si>
    <t>ООО "Земский банк"</t>
  </si>
  <si>
    <t>"Банк Кремлевский" ООО</t>
  </si>
  <si>
    <t>ООО КБ "АРЕСБАНК"</t>
  </si>
  <si>
    <t>ББР Банк (АО)</t>
  </si>
  <si>
    <t>КБ "НМБ" ООО</t>
  </si>
  <si>
    <t>[REGN 2960]</t>
  </si>
  <si>
    <t>АО "УРАЛПРОМБАНК"</t>
  </si>
  <si>
    <t>АО "ГОРБАНК"</t>
  </si>
  <si>
    <t>[REGN 2989]</t>
  </si>
  <si>
    <t>КБ "Байкалкредобанк" (АО)</t>
  </si>
  <si>
    <t>КБ "СТРОЙЛЕСБАНК" (ООО)</t>
  </si>
  <si>
    <t>ООО "ПроКоммерцБанк"</t>
  </si>
  <si>
    <t>АО "Углеметбанк"</t>
  </si>
  <si>
    <t>ООО "Экспобанк"</t>
  </si>
  <si>
    <t>ПАО АКБ "Приморье"</t>
  </si>
  <si>
    <t>АО Банк "Развитие-Столица"</t>
  </si>
  <si>
    <t>[REGN 3016]</t>
  </si>
  <si>
    <t>"Республиканский Кредитный Альянс" ООО</t>
  </si>
  <si>
    <t>КБ "АКРОПОЛЬ" АО</t>
  </si>
  <si>
    <t>[REGN 3037]</t>
  </si>
  <si>
    <t>Джей энд Ти Банк (АО)</t>
  </si>
  <si>
    <t>ПАО "РГС Банк"</t>
  </si>
  <si>
    <t>"Нацинвестпромбанк" (АО)</t>
  </si>
  <si>
    <t>[REGN 3085]</t>
  </si>
  <si>
    <t>КБ "Рента-Банк" АО</t>
  </si>
  <si>
    <t>ООО КБ "ЭКО-ИНВЕСТ"</t>
  </si>
  <si>
    <t>[REGN 3122]</t>
  </si>
  <si>
    <t>АО "НС Банк"</t>
  </si>
  <si>
    <t>АО "Таганрогбанк"</t>
  </si>
  <si>
    <t>АО "Банк БЖФ"</t>
  </si>
  <si>
    <t>ПАО "Банк "Екатеринбург"</t>
  </si>
  <si>
    <t>РНКО "Платежный Центр" (ООО)</t>
  </si>
  <si>
    <t>АО "МОСКОМБАНК"</t>
  </si>
  <si>
    <t>ООО КБ "ВНЕШФИНБАНК"</t>
  </si>
  <si>
    <t>АО КБ "ИС Банк"</t>
  </si>
  <si>
    <t>ПАО "БАЛТИНВЕСТБАНК"</t>
  </si>
  <si>
    <t>КБ "Континенталь" ООО</t>
  </si>
  <si>
    <t>Эс-Би-Ай Банк ООО</t>
  </si>
  <si>
    <t>АО "Сити Инвест Банк"</t>
  </si>
  <si>
    <t>АО НОКССБАНК</t>
  </si>
  <si>
    <t>АО "РУНА-БАНК"</t>
  </si>
  <si>
    <t>[REGN 3209]</t>
  </si>
  <si>
    <t>АО "Газнефтьбанк"</t>
  </si>
  <si>
    <t>Банк "СКС" (ООО)</t>
  </si>
  <si>
    <t>БАНК "АГОРА" ООО</t>
  </si>
  <si>
    <t>АО "СЭБ Банк"</t>
  </si>
  <si>
    <t>НКО "МКС" (ООО)</t>
  </si>
  <si>
    <t>ПАО БАНК "СИАБ"</t>
  </si>
  <si>
    <t>АО БАНК "МОСКВА-СИТИ"</t>
  </si>
  <si>
    <t>АО "Газэнергобанк"</t>
  </si>
  <si>
    <t>ПАО Банк ЗЕНИТ</t>
  </si>
  <si>
    <t>МКИБ "РОССИТА-БАНК" ООО</t>
  </si>
  <si>
    <t>[REGN 3265]</t>
  </si>
  <si>
    <t>[REGN 3266]</t>
  </si>
  <si>
    <t>АО "БАНК ОРЕНБУРГ"</t>
  </si>
  <si>
    <t>АО "Первый Дортрансбанк"</t>
  </si>
  <si>
    <t>Банк "ТРАСТ" (ПАО)</t>
  </si>
  <si>
    <t>Банк "ВБРР" (АО)</t>
  </si>
  <si>
    <t>ООО "Эйч-эс-би-си Банк (РР)"</t>
  </si>
  <si>
    <t>АО "Райффайзенбанк"</t>
  </si>
  <si>
    <t>"Русьуниверсалбанк" (ООО)</t>
  </si>
  <si>
    <t>НКО АО НРД</t>
  </si>
  <si>
    <t>АО "ПроБанк"</t>
  </si>
  <si>
    <t>АО "Классик Эконом Банк"</t>
  </si>
  <si>
    <t>АО "КОШЕЛЕВ-БАНК"</t>
  </si>
  <si>
    <t>Азия-Инвест Банк (АО)</t>
  </si>
  <si>
    <t>НКО АО ПРЦ</t>
  </si>
  <si>
    <t>АО "Кредит Европа Банк (Россия)"</t>
  </si>
  <si>
    <t>[REGN 3312]</t>
  </si>
  <si>
    <t>АО НКО "ЭЛЕКСНЕТ"</t>
  </si>
  <si>
    <t>НКО "РКЦ ДВ" (АО)</t>
  </si>
  <si>
    <t>НКО "Платежи и Расчеты" (АО)</t>
  </si>
  <si>
    <t>ООО "Дойче Банк"</t>
  </si>
  <si>
    <t>АО "Денизбанк Москва"</t>
  </si>
  <si>
    <t>[REGN 3332]</t>
  </si>
  <si>
    <t>АО "КОММЕРЦБАНК (ЕВРАЗИЯ)"</t>
  </si>
  <si>
    <t>АО "Мидзухо Банк (Москва)"</t>
  </si>
  <si>
    <t>АО "МСП Банк"</t>
  </si>
  <si>
    <t>ООО НКО "Мурманский расчетный центр"</t>
  </si>
  <si>
    <t>[REGN 3344]</t>
  </si>
  <si>
    <t>АО "Россельхозбанк"</t>
  </si>
  <si>
    <t>АО "РФИ БАНК"</t>
  </si>
  <si>
    <t>КБ "Ренессанс Кредит" (ООО)</t>
  </si>
  <si>
    <t>КБ "Москоммерцбанк" (АО)</t>
  </si>
  <si>
    <t>АО "СМП Банк"</t>
  </si>
  <si>
    <t>КБ "Максима" (ООО)</t>
  </si>
  <si>
    <t>АО "Банк Финсервис"</t>
  </si>
  <si>
    <t>"Натиксис Банк АО"</t>
  </si>
  <si>
    <t>"Банк "МБА-МОСКВА" ООО</t>
  </si>
  <si>
    <t>АО "МБ Банк"</t>
  </si>
  <si>
    <t>[REGN 3397]</t>
  </si>
  <si>
    <t>АО КБ "РУСНАРБАНК"</t>
  </si>
  <si>
    <t>"БНП ПАРИБА БАНК" АО</t>
  </si>
  <si>
    <t>КБ "РБА" (ООО)</t>
  </si>
  <si>
    <t>ООО "Банк РСИ"</t>
  </si>
  <si>
    <t>ООО "Унифондбанк"</t>
  </si>
  <si>
    <t>КБ "Новый век" (ООО)</t>
  </si>
  <si>
    <t>АО Банк "Национальный стандарт"</t>
  </si>
  <si>
    <t>НКО "Русское финансовое общество" (ООО)</t>
  </si>
  <si>
    <t>ООО "Первый Клиентский Банк"</t>
  </si>
  <si>
    <t>Банк НФК (АО)</t>
  </si>
  <si>
    <t>"Коммерческий Индо Банк" ООО</t>
  </si>
  <si>
    <t>Банк "РЕСО Кредит" (АО)</t>
  </si>
  <si>
    <t>НКО "Альтернатива" (ООО)</t>
  </si>
  <si>
    <t>НКО "ИНКАХРАН" (АО)</t>
  </si>
  <si>
    <t>[REGN 3456]</t>
  </si>
  <si>
    <t>ООО "Америкэн Экспресс Банк"</t>
  </si>
  <si>
    <t>ООО "Ю Би Эс Банк"</t>
  </si>
  <si>
    <t>АО "Эм-Ю-Эф-Джи Банк (Евразия)"</t>
  </si>
  <si>
    <t>НКО НКЦ (АО)</t>
  </si>
  <si>
    <t>АО КБ "ЮНИСТРИМ"</t>
  </si>
  <si>
    <t>Санкт-Петербургский банк инвестиций (АО)</t>
  </si>
  <si>
    <t>АО "Тойота Банк"</t>
  </si>
  <si>
    <t>"Мерседес-Бенц Банк Рус" ООО</t>
  </si>
  <si>
    <t>АйСиБиСи Банк (АО)</t>
  </si>
  <si>
    <t>АО "Ури Банк"</t>
  </si>
  <si>
    <t>[REGN 3481]</t>
  </si>
  <si>
    <t>"БМВ Банк" ООО</t>
  </si>
  <si>
    <t>[REGN 3483]</t>
  </si>
  <si>
    <t>НКО "ФИНЧЕР" (ООО)</t>
  </si>
  <si>
    <t>ООО "Голдман Сакс Банк"</t>
  </si>
  <si>
    <t>АО "СМБСР Банк"</t>
  </si>
  <si>
    <t>[REGN 3495]</t>
  </si>
  <si>
    <t>[REGN 3499]</t>
  </si>
  <si>
    <t>ООО "Фольксваген Банк РУС"</t>
  </si>
  <si>
    <t>АО "БАНК БЕРЕЙТ"</t>
  </si>
  <si>
    <t>"СеверСтройБанк" АО</t>
  </si>
  <si>
    <t>НКО "МОНЕТА" (ООО)</t>
  </si>
  <si>
    <t>[REGN 3509]</t>
  </si>
  <si>
    <t>ООО НКО "ЮМани"</t>
  </si>
  <si>
    <t>РНКО "Деньги.Мэйл.Ру" (ООО)</t>
  </si>
  <si>
    <t>ООО РНКО "Единая касса"</t>
  </si>
  <si>
    <t>НКО "Премиум" (ООО)</t>
  </si>
  <si>
    <t>ООО "Чайна Констракшн Банк"</t>
  </si>
  <si>
    <t>ООО "ОНЕЙ БАНК"</t>
  </si>
  <si>
    <t>ООО НКО "ПэйПал РУ"</t>
  </si>
  <si>
    <t>ООО НКО "ПэйЮ"</t>
  </si>
  <si>
    <t>ООО "Икано Банк"</t>
  </si>
  <si>
    <t>ПНКО "ИНЭКО" (ООО)</t>
  </si>
  <si>
    <t>ООО НКО "Мобильная карта"</t>
  </si>
  <si>
    <t>ООО НКО "МОБИ.Деньги"</t>
  </si>
  <si>
    <t>ООО НКО "Расчетные Решения"</t>
  </si>
  <si>
    <t>ООО "КЭБ ЭйчЭнБи Банк"</t>
  </si>
  <si>
    <t>АО "Банк ЧБРР"</t>
  </si>
  <si>
    <t>АО "Севастопольский Морской банк"</t>
  </si>
  <si>
    <t>ООО "Чайнасельхозбанк"</t>
  </si>
  <si>
    <t>[REGN 3530]</t>
  </si>
  <si>
    <t>НКО "Перспектива" (ООО)</t>
  </si>
  <si>
    <t>ООО "НКО "Глобал Эксчейндж"</t>
  </si>
  <si>
    <t>ООО ПНКО "ЭЛПЛАТ"</t>
  </si>
  <si>
    <t>РНКО "Р-ИНКАС" (ООО)</t>
  </si>
  <si>
    <t>ООО "Банк 131"</t>
  </si>
  <si>
    <t>НКО-ЦК "Клиринговый центр МФБ" (АО)</t>
  </si>
  <si>
    <t>НКО ЦК РДК (АО)</t>
  </si>
  <si>
    <t>Сверка расчёта прибыли: форма 101 vs форма 102, Q1 2021</t>
  </si>
  <si>
    <t>Метод</t>
  </si>
  <si>
    <t>Для каждого банка: YTD-прибыль по форме 101 на 01.04.2021 (счета 70601–70605, 70613, 70615 минус 70606–70611, 70614, 70616) сравнивается с прибылью по форме 102 Q1 2021 (коды 61101 минус 61102).</t>
  </si>
  <si>
    <t>Всего банков (форма 101, Q1)</t>
  </si>
  <si>
    <t>Точные совпадения</t>
  </si>
  <si>
    <t>Расхождение &lt; 1 %</t>
  </si>
  <si>
    <t>Расхождение ≥ 1 %</t>
  </si>
  <si>
    <t>Нет в форме 102</t>
  </si>
  <si>
    <t>Макс. абс. расхождение, тыс. ₽</t>
  </si>
  <si>
    <t>REGN банка с макс. расхождением</t>
  </si>
  <si>
    <t>Абсолютная прибыль за май 2021</t>
  </si>
  <si>
    <t>Место</t>
  </si>
  <si>
    <t>Название банка</t>
  </si>
  <si>
    <t>млрд ₽</t>
  </si>
  <si>
    <t>Индекс</t>
  </si>
  <si>
    <t>Показатель:</t>
  </si>
  <si>
    <t>Топ-10 банков  по форме 101 ЦБ РФ, май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</si>
</sst>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-#,##0.000;\-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3"/>
      <color rgb="FF1F4E78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4" fontId="0" fillId="0" borderId="0" xfId="0" applyNumberFormat="1"/>
    <xf numFmtId="0" fontId="0" fillId="4" borderId="0" xfId="0" applyFill="1"/>
    <xf numFmtId="0" fontId="5" fillId="0" borderId="0" xfId="0" applyFont="1"/>
    <xf numFmtId="0" fontId="7" fillId="0" borderId="0" xfId="0" applyFont="1"/>
    <xf numFmtId="0" fontId="0" fillId="0" borderId="1" xfId="0" applyBorder="1"/>
    <xf numFmtId="39" fontId="0" fillId="0" borderId="1" xfId="0" applyNumberFormat="1" applyBorder="1"/>
    <xf numFmtId="0" fontId="6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Топ-10</a:t>
            </a:r>
            <a:r>
              <a:rPr lang="ru-RU" b="1" baseline="0"/>
              <a:t> банков</a:t>
            </a:r>
            <a:r>
              <a:rPr lang="en-US" b="1" baseline="0"/>
              <a:t>, </a:t>
            </a:r>
            <a:r>
              <a:rPr lang="ru-RU" b="1"/>
              <a:t>млрд </a:t>
            </a:r>
            <a:r>
              <a:rPr lang="en-US" b="1"/>
              <a:t>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dashboard!$D$6</c:f>
              <c:strCache>
                <c:ptCount val="1"/>
                <c:pt idx="0">
                  <c:v>млрд 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dashboard!$C$7:$C$16</c:f>
              <c:strCache>
                <c:ptCount val="10"/>
                <c:pt idx="0">
                  <c:v>ПАО Сбербанк</c:v>
                </c:pt>
                <c:pt idx="1">
                  <c:v>Банк ВТБ (ПАО)</c:v>
                </c:pt>
                <c:pt idx="2">
                  <c:v>АО "АЛЬФА-БАНК"</c:v>
                </c:pt>
                <c:pt idx="3">
                  <c:v>Банк ГПБ (АО)</c:v>
                </c:pt>
                <c:pt idx="4">
                  <c:v>ПАО Банк "ФК Открытие"</c:v>
                </c:pt>
                <c:pt idx="5">
                  <c:v>ПАО "Совкомбанк"</c:v>
                </c:pt>
                <c:pt idx="6">
                  <c:v>АКБ "ПЕРЕСВЕТ" (ПАО)</c:v>
                </c:pt>
                <c:pt idx="7">
                  <c:v>АО "Тинькофф Банк"</c:v>
                </c:pt>
                <c:pt idx="8">
                  <c:v>ПАО РОСБАНК</c:v>
                </c:pt>
                <c:pt idx="9">
                  <c:v>АО "Райффайзенбанк"</c:v>
                </c:pt>
              </c:strCache>
            </c:strRef>
          </c:cat>
          <c:val>
            <c:numRef>
              <c:f>dashboard!$D$7:$D$16</c:f>
              <c:numCache>
                <c:formatCode>#,##0.00_);\(#,##0.00\)</c:formatCode>
                <c:ptCount val="10"/>
                <c:pt idx="0">
                  <c:v>101.91578800000001</c:v>
                </c:pt>
                <c:pt idx="1">
                  <c:v>25.398679999999999</c:v>
                </c:pt>
                <c:pt idx="2">
                  <c:v>21.481856000000001</c:v>
                </c:pt>
                <c:pt idx="3">
                  <c:v>16.911469</c:v>
                </c:pt>
                <c:pt idx="4">
                  <c:v>10.160439999999999</c:v>
                </c:pt>
                <c:pt idx="5">
                  <c:v>6.6817760000000002</c:v>
                </c:pt>
                <c:pt idx="6">
                  <c:v>4.9255370000000003</c:v>
                </c:pt>
                <c:pt idx="7">
                  <c:v>3.8249469999999999</c:v>
                </c:pt>
                <c:pt idx="8">
                  <c:v>2.5965060000000002</c:v>
                </c:pt>
                <c:pt idx="9">
                  <c:v>2.3804479999999999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4-4D3C-8976-7720F8505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4169296"/>
        <c:axId val="2072861776"/>
      </c:barChart>
      <c:catAx>
        <c:axId val="19141692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2861776"/>
        <c:crosses val="autoZero"/>
        <c:auto val="1"/>
        <c:lblAlgn val="ctr"/>
        <c:lblOffset val="100"/>
        <c:noMultiLvlLbl val="0"/>
      </c:catAx>
      <c:valAx>
        <c:axId val="2072861776"/>
        <c:scaling>
          <c:orientation val="minMax"/>
        </c:scaling>
        <c:delete val="1"/>
        <c:axPos val="b"/>
        <c:numFmt formatCode="#,##0.00_);\(#,##0.00\)" sourceLinked="1"/>
        <c:majorTickMark val="none"/>
        <c:minorTickMark val="none"/>
        <c:tickLblPos val="nextTo"/>
        <c:crossAx val="191416929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121920</xdr:colOff>
      <xdr:row>3</xdr:row>
      <xdr:rowOff>57150</xdr:rowOff>
    </xdr:from>
    <xdr:to>
      <xdr:col>15</xdr:col>
      <xdr:colOff>121920</xdr:colOff>
      <xdr:row>18</xdr:row>
      <xdr:rowOff>91440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0CB6523-BEFE-9092-1F57-3DD097EE5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FFA6-E042-47CF-A8CE-8CA928F1041C}">
  <dimension ref="A1:D16"/>
  <sheetViews>
    <sheetView tabSelected="1" workbookViewId="0">
      <selection activeCell="C3" sqref="C3"/>
    </sheetView>
  </sheetViews>
  <sheetFormatPr defaultRowHeight="14.4" x14ac:dyDescent="0.3"/>
  <cols>
    <col min="1" max="1" width="17.33203125" customWidth="1"/>
    <col min="2" max="2" width="15.33203125" customWidth="1"/>
    <col min="3" max="3" width="47.6640625" bestFit="1" customWidth="1"/>
    <col min="4" max="4" width="14.33203125" customWidth="1"/>
  </cols>
  <sheetData>
    <row r="1" spans="1:4" ht="18" x14ac:dyDescent="0.35">
      <c r="A1" s="7"/>
      <c r="B1" s="8" t="s">
        <v>453</v>
      </c>
    </row>
    <row r="3" spans="1:4" x14ac:dyDescent="0.3">
      <c r="B3" t="s">
        <v>452</v>
      </c>
      <c r="C3" s="6" t="s">
        <v>447</v>
      </c>
    </row>
    <row r="4" spans="1:4" x14ac:dyDescent="0.3">
      <c r="B4" t="s">
        <v>451</v>
      </c>
      <c r="C4">
        <f>MATCH(C3,{"Абсолютная прибыль за май 2021","Прирост прибыли за месяц (май 2021 vs апрель 2021)","Прирост прибыли за год (май 2021 vs май 2020)"},0)</f>
        <v>1</v>
      </c>
    </row>
    <row r="6" spans="1:4" ht="15.6" x14ac:dyDescent="0.3">
      <c r="B6" s="11" t="s">
        <v>448</v>
      </c>
      <c r="C6" s="11" t="s">
        <v>449</v>
      </c>
      <c r="D6" s="12" t="s">
        <v>450</v>
      </c>
    </row>
    <row r="7" spans="1:4" x14ac:dyDescent="0.3">
      <c r="B7" s="9">
        <f>ROW()-6</f>
        <v>1</v>
      </c>
      <c r="C7" s="9" t="str">
        <f t="shared" ref="C7:C16" si="0">INDEX(bank_names,MATCH(D7,CHOOSE($C$4,profit_abs,profit_mom,profit_yoy),0))</f>
        <v>ПАО Сбербанк</v>
      </c>
      <c r="D7" s="10">
        <f t="shared" ref="D7:D16" si="1">LARGE(CHOOSE($C$4,profit_abs,profit_mom,profit_yoy),B7)</f>
        <v>101.91578800000001</v>
      </c>
    </row>
    <row r="8" spans="1:4" x14ac:dyDescent="0.3">
      <c r="B8" s="9">
        <f t="shared" ref="B8:B16" si="2">ROW()-6</f>
        <v>2</v>
      </c>
      <c r="C8" s="9" t="str">
        <f t="shared" si="0"/>
        <v>Банк ВТБ (ПАО)</v>
      </c>
      <c r="D8" s="10">
        <f t="shared" si="1"/>
        <v>25.398679999999999</v>
      </c>
    </row>
    <row r="9" spans="1:4" x14ac:dyDescent="0.3">
      <c r="B9" s="9">
        <f t="shared" si="2"/>
        <v>3</v>
      </c>
      <c r="C9" s="9" t="str">
        <f t="shared" si="0"/>
        <v>АО "АЛЬФА-БАНК"</v>
      </c>
      <c r="D9" s="10">
        <f t="shared" si="1"/>
        <v>21.481856000000001</v>
      </c>
    </row>
    <row r="10" spans="1:4" x14ac:dyDescent="0.3">
      <c r="B10" s="9">
        <f t="shared" si="2"/>
        <v>4</v>
      </c>
      <c r="C10" s="9" t="str">
        <f t="shared" si="0"/>
        <v>Банк ГПБ (АО)</v>
      </c>
      <c r="D10" s="10">
        <f t="shared" si="1"/>
        <v>16.911469</v>
      </c>
    </row>
    <row r="11" spans="1:4" x14ac:dyDescent="0.3">
      <c r="B11" s="9">
        <f t="shared" si="2"/>
        <v>5</v>
      </c>
      <c r="C11" s="9" t="str">
        <f t="shared" si="0"/>
        <v>ПАО Банк "ФК Открытие"</v>
      </c>
      <c r="D11" s="10">
        <f t="shared" si="1"/>
        <v>10.160439999999999</v>
      </c>
    </row>
    <row r="12" spans="1:4" x14ac:dyDescent="0.3">
      <c r="B12" s="9">
        <f t="shared" si="2"/>
        <v>6</v>
      </c>
      <c r="C12" s="9" t="str">
        <f t="shared" si="0"/>
        <v>ПАО "Совкомбанк"</v>
      </c>
      <c r="D12" s="10">
        <f t="shared" si="1"/>
        <v>6.6817760000000002</v>
      </c>
    </row>
    <row r="13" spans="1:4" x14ac:dyDescent="0.3">
      <c r="B13" s="9">
        <f t="shared" si="2"/>
        <v>7</v>
      </c>
      <c r="C13" s="9" t="str">
        <f t="shared" si="0"/>
        <v>АКБ "ПЕРЕСВЕТ" (ПАО)</v>
      </c>
      <c r="D13" s="10">
        <f t="shared" si="1"/>
        <v>4.9255370000000003</v>
      </c>
    </row>
    <row r="14" spans="1:4" x14ac:dyDescent="0.3">
      <c r="B14" s="9">
        <f t="shared" si="2"/>
        <v>8</v>
      </c>
      <c r="C14" s="9" t="str">
        <f t="shared" si="0"/>
        <v>АО "Тинькофф Банк"</v>
      </c>
      <c r="D14" s="10">
        <f t="shared" si="1"/>
        <v>3.8249469999999999</v>
      </c>
    </row>
    <row r="15" spans="1:4" x14ac:dyDescent="0.3">
      <c r="B15" s="9">
        <f t="shared" si="2"/>
        <v>9</v>
      </c>
      <c r="C15" s="9" t="str">
        <f t="shared" si="0"/>
        <v>ПАО РОСБАНК</v>
      </c>
      <c r="D15" s="10">
        <f t="shared" si="1"/>
        <v>2.5965060000000002</v>
      </c>
    </row>
    <row r="16" spans="1:4" x14ac:dyDescent="0.3">
      <c r="B16" s="9">
        <f t="shared" si="2"/>
        <v>10</v>
      </c>
      <c r="C16" s="9" t="str">
        <f t="shared" si="0"/>
        <v>АО "Райффайзенбанк"</v>
      </c>
      <c r="D16" s="10">
        <f t="shared" si="1"/>
        <v>2.3804479999999999</v>
      </c>
    </row>
  </sheetData>
  <dataValidations count="1">
    <dataValidation type="list" allowBlank="1" showInputMessage="1" showErrorMessage="1" sqref="C3" xr:uid="{BB434996-AE0A-4813-9B3B-D725DE78ED76}">
      <formula1>"Абсолютная прибыль за май 2021,Прирост прибыли за месяц (май 2021 vs апрель 2021),Прирост прибыли за год (май 2021 vs май 2020)"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1"/>
  <sheetViews>
    <sheetView workbookViewId="0">
      <pane xSplit="2" ySplit="1" topLeftCell="C2" activePane="bottomRight" state="frozen"/>
      <selection pane="topRight"/>
      <selection pane="bottomLeft"/>
      <selection pane="bottomRight" activeCell="J20" sqref="J20"/>
    </sheetView>
  </sheetViews>
  <sheetFormatPr defaultRowHeight="14.4" x14ac:dyDescent="0.3"/>
  <cols>
    <col min="1" max="1" width="8" customWidth="1"/>
    <col min="2" max="2" width="55" customWidth="1"/>
    <col min="3" max="7" width="22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s="2">
        <v>1.9973000000000001</v>
      </c>
      <c r="D2" s="2">
        <v>1.7313240000000001</v>
      </c>
      <c r="E2" s="2">
        <v>1.272403</v>
      </c>
      <c r="F2" s="2">
        <v>0.26597599999999999</v>
      </c>
      <c r="G2" s="2">
        <v>0.72489700000000012</v>
      </c>
    </row>
    <row r="3" spans="1:7" x14ac:dyDescent="0.3">
      <c r="A3">
        <v>2</v>
      </c>
      <c r="B3" t="s">
        <v>8</v>
      </c>
      <c r="C3" s="2">
        <v>1.2093E-2</v>
      </c>
      <c r="D3" s="2">
        <v>2.9300000000000002E-4</v>
      </c>
      <c r="E3" s="2">
        <v>1.5181E-2</v>
      </c>
      <c r="F3" s="2">
        <v>1.18E-2</v>
      </c>
      <c r="G3" s="2">
        <v>-3.088E-3</v>
      </c>
    </row>
    <row r="4" spans="1:7" x14ac:dyDescent="0.3">
      <c r="A4">
        <v>21</v>
      </c>
      <c r="B4" t="s">
        <v>9</v>
      </c>
      <c r="C4" s="2">
        <v>1.8749999999999999E-3</v>
      </c>
      <c r="D4" s="2">
        <v>-2.7880000000000001E-3</v>
      </c>
      <c r="E4" s="2">
        <v>-1.0399999999999999E-3</v>
      </c>
      <c r="F4" s="2">
        <v>4.6629999999999996E-3</v>
      </c>
      <c r="G4" s="2">
        <v>2.9150000000000001E-3</v>
      </c>
    </row>
    <row r="5" spans="1:7" x14ac:dyDescent="0.3">
      <c r="A5">
        <v>52</v>
      </c>
      <c r="B5" t="s">
        <v>10</v>
      </c>
      <c r="C5" s="2">
        <v>-0.37590200000000001</v>
      </c>
      <c r="D5" s="2">
        <v>0.113307</v>
      </c>
      <c r="E5" s="2">
        <v>0.12009</v>
      </c>
      <c r="F5" s="2">
        <v>-0.489209</v>
      </c>
      <c r="G5" s="2">
        <v>-0.49599199999999999</v>
      </c>
    </row>
    <row r="6" spans="1:7" x14ac:dyDescent="0.3">
      <c r="A6">
        <v>53</v>
      </c>
      <c r="B6" t="s">
        <v>11</v>
      </c>
      <c r="C6" s="2">
        <v>-6.5620000000000001E-3</v>
      </c>
      <c r="D6" s="2">
        <v>4.2490000000000002E-3</v>
      </c>
      <c r="E6" s="2">
        <v>1.8078E-2</v>
      </c>
      <c r="F6" s="2">
        <v>-1.0810999999999999E-2</v>
      </c>
      <c r="G6" s="2">
        <v>-2.4639999999999999E-2</v>
      </c>
    </row>
    <row r="7" spans="1:7" x14ac:dyDescent="0.3">
      <c r="A7">
        <v>65</v>
      </c>
      <c r="B7" t="s">
        <v>12</v>
      </c>
      <c r="C7" s="2">
        <v>4.299E-2</v>
      </c>
      <c r="D7" s="2">
        <v>1.5458E-2</v>
      </c>
      <c r="E7" s="2">
        <v>1.0451E-2</v>
      </c>
      <c r="F7" s="2">
        <v>2.7532000000000001E-2</v>
      </c>
      <c r="G7" s="2">
        <v>3.2538999999999998E-2</v>
      </c>
    </row>
    <row r="8" spans="1:7" x14ac:dyDescent="0.3">
      <c r="A8">
        <v>67</v>
      </c>
      <c r="B8" t="s">
        <v>13</v>
      </c>
      <c r="C8" s="2">
        <v>6.0291999999999998E-2</v>
      </c>
      <c r="D8" s="2">
        <v>1.477E-2</v>
      </c>
      <c r="E8" s="2">
        <v>1.0968E-2</v>
      </c>
      <c r="F8" s="2">
        <v>4.5522E-2</v>
      </c>
      <c r="G8" s="2">
        <v>4.9324E-2</v>
      </c>
    </row>
    <row r="9" spans="1:7" x14ac:dyDescent="0.3">
      <c r="A9">
        <v>77</v>
      </c>
      <c r="B9" t="s">
        <v>14</v>
      </c>
      <c r="C9" s="2">
        <v>-1.511E-3</v>
      </c>
      <c r="D9" s="2">
        <v>-1.1583E-2</v>
      </c>
      <c r="E9" s="2">
        <v>1.9691E-2</v>
      </c>
      <c r="F9" s="2">
        <v>1.0071999999999999E-2</v>
      </c>
      <c r="G9" s="2">
        <v>-2.1201999999999999E-2</v>
      </c>
    </row>
    <row r="10" spans="1:7" x14ac:dyDescent="0.3">
      <c r="A10">
        <v>85</v>
      </c>
      <c r="B10" t="s">
        <v>15</v>
      </c>
      <c r="C10" s="2">
        <v>8.8199999999999997E-4</v>
      </c>
      <c r="D10" s="2">
        <v>1.01E-4</v>
      </c>
      <c r="E10" s="2">
        <v>-9.1699999999999995E-4</v>
      </c>
      <c r="F10" s="2">
        <v>7.8100000000000001E-4</v>
      </c>
      <c r="G10" s="2">
        <v>1.799E-3</v>
      </c>
    </row>
    <row r="11" spans="1:7" x14ac:dyDescent="0.3">
      <c r="A11">
        <v>101</v>
      </c>
      <c r="B11" t="s">
        <v>16</v>
      </c>
      <c r="C11" s="2">
        <v>-2.6887000000000001E-2</v>
      </c>
      <c r="D11" s="2">
        <v>-9.8361000000000004E-2</v>
      </c>
      <c r="E11" s="2">
        <v>-0.19650699999999999</v>
      </c>
      <c r="F11" s="2">
        <v>7.147400000000001E-2</v>
      </c>
      <c r="G11" s="2">
        <v>0.16961999999999999</v>
      </c>
    </row>
    <row r="12" spans="1:7" x14ac:dyDescent="0.3">
      <c r="A12">
        <v>106</v>
      </c>
      <c r="B12" t="s">
        <v>17</v>
      </c>
      <c r="C12" s="2">
        <v>3.1939999999999998E-3</v>
      </c>
      <c r="D12" s="2">
        <v>2.7049999999999999E-3</v>
      </c>
      <c r="E12" s="2">
        <v>5.1970000000000002E-3</v>
      </c>
      <c r="F12" s="2">
        <v>4.8899999999999985E-4</v>
      </c>
      <c r="G12" s="2">
        <v>-2.003E-3</v>
      </c>
    </row>
    <row r="13" spans="1:7" x14ac:dyDescent="0.3">
      <c r="A13">
        <v>121</v>
      </c>
      <c r="B13" t="s">
        <v>18</v>
      </c>
      <c r="C13" s="2">
        <v>-0.93850599999999995</v>
      </c>
      <c r="D13" s="2">
        <v>1.6995309999999999</v>
      </c>
      <c r="E13" s="2">
        <v>2.558195</v>
      </c>
      <c r="F13" s="2">
        <v>-2.6380370000000002</v>
      </c>
      <c r="G13" s="2">
        <v>-3.4967009999999998</v>
      </c>
    </row>
    <row r="14" spans="1:7" x14ac:dyDescent="0.3">
      <c r="A14">
        <v>170</v>
      </c>
      <c r="B14" t="s">
        <v>19</v>
      </c>
      <c r="C14" s="2">
        <v>0.34349000000000002</v>
      </c>
      <c r="D14" s="2">
        <v>6.3209000000000001E-2</v>
      </c>
      <c r="E14" s="2">
        <v>0.70854300000000003</v>
      </c>
      <c r="F14" s="2">
        <v>0.280281</v>
      </c>
      <c r="G14" s="2">
        <v>-0.36505300000000002</v>
      </c>
    </row>
    <row r="15" spans="1:7" x14ac:dyDescent="0.3">
      <c r="A15">
        <v>212</v>
      </c>
      <c r="B15" t="s">
        <v>20</v>
      </c>
      <c r="C15" s="2">
        <v>1.3327E-2</v>
      </c>
      <c r="D15" s="2">
        <v>1.6213999999999999E-2</v>
      </c>
      <c r="E15" s="2">
        <v>8.8269999999999998E-3</v>
      </c>
      <c r="F15" s="2">
        <v>-2.8869999999999989E-3</v>
      </c>
      <c r="G15" s="2">
        <v>4.5000000000000014E-3</v>
      </c>
    </row>
    <row r="16" spans="1:7" x14ac:dyDescent="0.3">
      <c r="A16">
        <v>232</v>
      </c>
      <c r="B16" t="s">
        <v>21</v>
      </c>
      <c r="C16" s="2"/>
      <c r="D16" s="2"/>
      <c r="E16" s="2"/>
      <c r="F16" s="2"/>
      <c r="G16" s="2"/>
    </row>
    <row r="17" spans="1:7" x14ac:dyDescent="0.3">
      <c r="A17">
        <v>236</v>
      </c>
      <c r="B17" t="s">
        <v>22</v>
      </c>
      <c r="C17" s="2">
        <v>-2.5379999999999999E-3</v>
      </c>
      <c r="D17" s="2">
        <v>-1.66E-4</v>
      </c>
      <c r="E17" s="2">
        <v>-6.77E-3</v>
      </c>
      <c r="F17" s="2">
        <v>-2.372E-3</v>
      </c>
      <c r="G17" s="2">
        <v>4.2319999999999997E-3</v>
      </c>
    </row>
    <row r="18" spans="1:7" x14ac:dyDescent="0.3">
      <c r="A18">
        <v>249</v>
      </c>
      <c r="B18" t="s">
        <v>23</v>
      </c>
      <c r="C18" s="2">
        <v>-9.6668000000000004E-2</v>
      </c>
      <c r="D18" s="2">
        <v>-2.0174000000000001E-2</v>
      </c>
      <c r="E18" s="2">
        <v>-8.4510000000000002E-3</v>
      </c>
      <c r="F18" s="2">
        <v>-7.6494000000000006E-2</v>
      </c>
      <c r="G18" s="2">
        <v>-8.8217000000000004E-2</v>
      </c>
    </row>
    <row r="19" spans="1:7" x14ac:dyDescent="0.3">
      <c r="A19">
        <v>254</v>
      </c>
      <c r="B19" t="s">
        <v>24</v>
      </c>
      <c r="C19" s="2">
        <v>1.2769000000000001E-2</v>
      </c>
      <c r="D19" s="2">
        <v>3.2309999999999998E-2</v>
      </c>
      <c r="E19" s="2">
        <v>3.9170000000000003E-2</v>
      </c>
      <c r="F19" s="2">
        <v>-1.9540999999999999E-2</v>
      </c>
      <c r="G19" s="2">
        <v>-2.6401000000000001E-2</v>
      </c>
    </row>
    <row r="20" spans="1:7" x14ac:dyDescent="0.3">
      <c r="A20">
        <v>256</v>
      </c>
      <c r="B20" t="s">
        <v>25</v>
      </c>
      <c r="C20" s="2">
        <v>5.1553000000000002E-2</v>
      </c>
      <c r="D20" s="2">
        <v>-8.25E-4</v>
      </c>
      <c r="E20" s="2">
        <v>3.3888000000000001E-2</v>
      </c>
      <c r="F20" s="2">
        <v>5.2378000000000001E-2</v>
      </c>
      <c r="G20" s="2">
        <v>1.7665E-2</v>
      </c>
    </row>
    <row r="21" spans="1:7" x14ac:dyDescent="0.3">
      <c r="A21">
        <v>272</v>
      </c>
      <c r="B21" t="s">
        <v>26</v>
      </c>
      <c r="C21" s="2"/>
      <c r="D21" s="2">
        <v>-3.2321000000000003E-2</v>
      </c>
      <c r="E21" s="2">
        <v>2.9399999999999999E-4</v>
      </c>
      <c r="F21" s="2"/>
      <c r="G21" s="2"/>
    </row>
    <row r="22" spans="1:7" x14ac:dyDescent="0.3">
      <c r="A22">
        <v>316</v>
      </c>
      <c r="B22" t="s">
        <v>27</v>
      </c>
      <c r="C22" s="2">
        <v>0.51988299999999998</v>
      </c>
      <c r="D22" s="2">
        <v>0.48272399999999999</v>
      </c>
      <c r="E22" s="2">
        <v>-0.43145899999999998</v>
      </c>
      <c r="F22" s="2">
        <v>3.7158999999999998E-2</v>
      </c>
      <c r="G22" s="2">
        <v>0.95134199999999991</v>
      </c>
    </row>
    <row r="23" spans="1:7" x14ac:dyDescent="0.3">
      <c r="A23">
        <v>328</v>
      </c>
      <c r="B23" t="s">
        <v>28</v>
      </c>
      <c r="C23" s="2">
        <v>0.72600600000000004</v>
      </c>
      <c r="D23" s="2">
        <v>-1.9361809999999999</v>
      </c>
      <c r="E23" s="2">
        <v>0.98449299999999995</v>
      </c>
      <c r="F23" s="2">
        <v>2.6621869999999999</v>
      </c>
      <c r="G23" s="2">
        <v>-0.25848699999999991</v>
      </c>
    </row>
    <row r="24" spans="1:7" x14ac:dyDescent="0.3">
      <c r="A24">
        <v>330</v>
      </c>
      <c r="B24" t="s">
        <v>29</v>
      </c>
      <c r="C24" s="2">
        <v>8.5400000000000005E-4</v>
      </c>
      <c r="D24" s="2">
        <v>1.5009E-2</v>
      </c>
      <c r="E24" s="2">
        <v>6.3500000000000004E-4</v>
      </c>
      <c r="F24" s="2">
        <v>-1.4154999999999999E-2</v>
      </c>
      <c r="G24" s="2">
        <v>2.1900000000000001E-4</v>
      </c>
    </row>
    <row r="25" spans="1:7" x14ac:dyDescent="0.3">
      <c r="A25">
        <v>354</v>
      </c>
      <c r="B25" t="s">
        <v>30</v>
      </c>
      <c r="C25" s="2">
        <v>16.911469</v>
      </c>
      <c r="D25" s="2">
        <v>11.150613</v>
      </c>
      <c r="E25" s="2">
        <v>2.0097930000000002</v>
      </c>
      <c r="F25" s="2">
        <v>5.7608560000000004</v>
      </c>
      <c r="G25" s="2">
        <v>14.901676</v>
      </c>
    </row>
    <row r="26" spans="1:7" x14ac:dyDescent="0.3">
      <c r="A26">
        <v>356</v>
      </c>
      <c r="B26" t="s">
        <v>31</v>
      </c>
      <c r="C26" s="2">
        <v>-6.0720000000000001E-3</v>
      </c>
      <c r="D26" s="2">
        <v>-8.4849999999999995E-3</v>
      </c>
      <c r="E26" s="2">
        <v>-1.4988E-2</v>
      </c>
      <c r="F26" s="2">
        <v>2.4129999999999989E-3</v>
      </c>
      <c r="G26" s="2">
        <v>8.9160000000000003E-3</v>
      </c>
    </row>
    <row r="27" spans="1:7" x14ac:dyDescent="0.3">
      <c r="A27">
        <v>384</v>
      </c>
      <c r="B27" t="s">
        <v>32</v>
      </c>
      <c r="C27" s="2">
        <v>7.4999999999999993E-5</v>
      </c>
      <c r="D27" s="2">
        <v>9.2E-5</v>
      </c>
      <c r="E27" s="2">
        <v>2.4000000000000001E-5</v>
      </c>
      <c r="F27" s="2">
        <v>-1.700000000000001E-5</v>
      </c>
      <c r="G27" s="2">
        <v>5.0999999999999993E-5</v>
      </c>
    </row>
    <row r="28" spans="1:7" x14ac:dyDescent="0.3">
      <c r="A28">
        <v>415</v>
      </c>
      <c r="B28" t="s">
        <v>33</v>
      </c>
      <c r="C28" s="2">
        <v>0.209646</v>
      </c>
      <c r="D28" s="2">
        <v>0.14417199999999999</v>
      </c>
      <c r="E28" s="2">
        <v>0.16750399999999999</v>
      </c>
      <c r="F28" s="2">
        <v>6.5474000000000004E-2</v>
      </c>
      <c r="G28" s="2">
        <v>4.2142000000000013E-2</v>
      </c>
    </row>
    <row r="29" spans="1:7" x14ac:dyDescent="0.3">
      <c r="A29">
        <v>429</v>
      </c>
      <c r="B29" t="s">
        <v>34</v>
      </c>
      <c r="C29" s="2">
        <v>3.1153E-2</v>
      </c>
      <c r="D29" s="2">
        <v>0.15418399999999999</v>
      </c>
      <c r="E29" s="2">
        <v>3.8730000000000001E-2</v>
      </c>
      <c r="F29" s="2">
        <v>-0.123031</v>
      </c>
      <c r="G29" s="2">
        <v>-7.5770000000000004E-3</v>
      </c>
    </row>
    <row r="30" spans="1:7" x14ac:dyDescent="0.3">
      <c r="A30">
        <v>435</v>
      </c>
      <c r="B30" t="s">
        <v>35</v>
      </c>
      <c r="C30" s="2">
        <v>4.5821000000000001E-2</v>
      </c>
      <c r="D30" s="2">
        <v>7.7411999999999995E-2</v>
      </c>
      <c r="E30" s="2">
        <v>-1.7389000000000002E-2</v>
      </c>
      <c r="F30" s="2">
        <v>-3.1590999999999987E-2</v>
      </c>
      <c r="G30" s="2">
        <v>6.3210000000000002E-2</v>
      </c>
    </row>
    <row r="31" spans="1:7" x14ac:dyDescent="0.3">
      <c r="A31">
        <v>436</v>
      </c>
      <c r="B31" t="s">
        <v>36</v>
      </c>
      <c r="C31" s="2">
        <v>2.3038129999999999</v>
      </c>
      <c r="D31" s="2">
        <v>1.0579000000000001</v>
      </c>
      <c r="E31" s="2">
        <v>1.1745159999999999</v>
      </c>
      <c r="F31" s="2">
        <v>1.245913</v>
      </c>
      <c r="G31" s="2">
        <v>1.129297</v>
      </c>
    </row>
    <row r="32" spans="1:7" x14ac:dyDescent="0.3">
      <c r="A32">
        <v>438</v>
      </c>
      <c r="B32" t="s">
        <v>37</v>
      </c>
      <c r="C32" s="2">
        <v>5.8250000000000003E-3</v>
      </c>
      <c r="D32" s="2">
        <v>2.2460000000000002E-3</v>
      </c>
      <c r="E32" s="2">
        <v>1.4206999999999999E-2</v>
      </c>
      <c r="F32" s="2">
        <v>3.5790000000000001E-3</v>
      </c>
      <c r="G32" s="2">
        <v>-8.3819999999999988E-3</v>
      </c>
    </row>
    <row r="33" spans="1:7" x14ac:dyDescent="0.3">
      <c r="A33">
        <v>444</v>
      </c>
      <c r="B33" t="s">
        <v>38</v>
      </c>
      <c r="C33" s="2">
        <v>-1.2973999999999999E-2</v>
      </c>
      <c r="D33" s="2">
        <v>5.2389999999999997E-3</v>
      </c>
      <c r="E33" s="2">
        <v>-5.032E-3</v>
      </c>
      <c r="F33" s="2">
        <v>-1.8213E-2</v>
      </c>
      <c r="G33" s="2">
        <v>-7.9419999999999994E-3</v>
      </c>
    </row>
    <row r="34" spans="1:7" x14ac:dyDescent="0.3">
      <c r="A34">
        <v>478</v>
      </c>
      <c r="B34" t="s">
        <v>39</v>
      </c>
      <c r="C34" s="2">
        <v>4.6369999999999996E-3</v>
      </c>
      <c r="D34" s="2">
        <v>-2.5839999999999999E-3</v>
      </c>
      <c r="E34" s="2">
        <v>-1.8941E-2</v>
      </c>
      <c r="F34" s="2">
        <v>7.221E-3</v>
      </c>
      <c r="G34" s="2">
        <v>2.3578000000000002E-2</v>
      </c>
    </row>
    <row r="35" spans="1:7" x14ac:dyDescent="0.3">
      <c r="A35">
        <v>480</v>
      </c>
      <c r="B35" t="s">
        <v>40</v>
      </c>
      <c r="C35" s="2">
        <v>6.8960999999999995E-2</v>
      </c>
      <c r="D35" s="2">
        <v>2.6869000000000001E-2</v>
      </c>
      <c r="E35" s="2">
        <v>3.8850999999999997E-2</v>
      </c>
      <c r="F35" s="2">
        <v>4.2091999999999991E-2</v>
      </c>
      <c r="G35" s="2">
        <v>3.0110000000000001E-2</v>
      </c>
    </row>
    <row r="36" spans="1:7" x14ac:dyDescent="0.3">
      <c r="A36">
        <v>481</v>
      </c>
      <c r="B36" t="s">
        <v>41</v>
      </c>
      <c r="C36" s="2">
        <v>1.2649000000000001E-2</v>
      </c>
      <c r="D36" s="2">
        <v>-1.6497999999999999E-2</v>
      </c>
      <c r="E36" s="2">
        <v>3.2487000000000002E-2</v>
      </c>
      <c r="F36" s="2">
        <v>2.9146999999999999E-2</v>
      </c>
      <c r="G36" s="2">
        <v>-1.9838000000000001E-2</v>
      </c>
    </row>
    <row r="37" spans="1:7" x14ac:dyDescent="0.3">
      <c r="A37">
        <v>485</v>
      </c>
      <c r="B37" t="s">
        <v>42</v>
      </c>
      <c r="C37" s="2">
        <v>0.10388500000000001</v>
      </c>
      <c r="D37" s="2">
        <v>0.192385</v>
      </c>
      <c r="E37" s="2">
        <v>-0.24191499999999999</v>
      </c>
      <c r="F37" s="2">
        <v>-8.8499999999999995E-2</v>
      </c>
      <c r="G37" s="2">
        <v>0.3458</v>
      </c>
    </row>
    <row r="38" spans="1:7" x14ac:dyDescent="0.3">
      <c r="A38">
        <v>492</v>
      </c>
      <c r="B38" t="s">
        <v>43</v>
      </c>
      <c r="C38" s="2">
        <v>2.2439999999999999E-3</v>
      </c>
      <c r="D38" s="2">
        <v>-3.885E-3</v>
      </c>
      <c r="E38" s="2">
        <v>-6.0150000000000004E-3</v>
      </c>
      <c r="F38" s="2">
        <v>6.1289999999999999E-3</v>
      </c>
      <c r="G38" s="2">
        <v>8.2590000000000007E-3</v>
      </c>
    </row>
    <row r="39" spans="1:7" x14ac:dyDescent="0.3">
      <c r="A39">
        <v>493</v>
      </c>
      <c r="B39" t="s">
        <v>44</v>
      </c>
      <c r="C39" s="2">
        <v>0.263733</v>
      </c>
      <c r="D39" s="2">
        <v>-9.7689999999999999E-2</v>
      </c>
      <c r="E39" s="2">
        <v>-0.28298600000000002</v>
      </c>
      <c r="F39" s="2">
        <v>0.36142299999999999</v>
      </c>
      <c r="G39" s="2">
        <v>0.54671899999999996</v>
      </c>
    </row>
    <row r="40" spans="1:7" x14ac:dyDescent="0.3">
      <c r="A40">
        <v>503</v>
      </c>
      <c r="B40" t="s">
        <v>45</v>
      </c>
      <c r="C40" s="2">
        <v>3.9999999999999998E-6</v>
      </c>
      <c r="D40" s="2">
        <v>-1.7718000000000001E-2</v>
      </c>
      <c r="E40" s="2">
        <v>-3.0000000000000001E-6</v>
      </c>
      <c r="F40" s="2">
        <v>1.7722000000000002E-2</v>
      </c>
      <c r="G40" s="2">
        <v>6.9999999999999999E-6</v>
      </c>
    </row>
    <row r="41" spans="1:7" x14ac:dyDescent="0.3">
      <c r="A41">
        <v>520</v>
      </c>
      <c r="B41" t="s">
        <v>46</v>
      </c>
      <c r="C41" s="2"/>
      <c r="D41" s="2"/>
      <c r="E41" s="2">
        <v>-2.2696000000000001E-2</v>
      </c>
      <c r="F41" s="2"/>
      <c r="G41" s="2"/>
    </row>
    <row r="42" spans="1:7" x14ac:dyDescent="0.3">
      <c r="A42">
        <v>524</v>
      </c>
      <c r="B42" t="s">
        <v>47</v>
      </c>
      <c r="C42" s="2">
        <v>1.5013E-2</v>
      </c>
      <c r="D42" s="2">
        <v>-5.6059999999999999E-3</v>
      </c>
      <c r="E42" s="2">
        <v>-8.7500000000000002E-4</v>
      </c>
      <c r="F42" s="2">
        <v>2.0618999999999998E-2</v>
      </c>
      <c r="G42" s="2">
        <v>1.5887999999999999E-2</v>
      </c>
    </row>
    <row r="43" spans="1:7" x14ac:dyDescent="0.3">
      <c r="A43">
        <v>537</v>
      </c>
      <c r="B43" t="s">
        <v>48</v>
      </c>
      <c r="C43" s="2">
        <v>-2.0330000000000001E-3</v>
      </c>
      <c r="D43" s="2">
        <v>1.3042E-2</v>
      </c>
      <c r="E43" s="2">
        <v>2.4889999999999999E-3</v>
      </c>
      <c r="F43" s="2">
        <v>-1.5075E-2</v>
      </c>
      <c r="G43" s="2">
        <v>-4.522E-3</v>
      </c>
    </row>
    <row r="44" spans="1:7" x14ac:dyDescent="0.3">
      <c r="A44">
        <v>538</v>
      </c>
      <c r="B44" t="s">
        <v>49</v>
      </c>
      <c r="C44" s="2">
        <v>-6.2979999999999998E-3</v>
      </c>
      <c r="D44" s="2">
        <v>-1.699E-3</v>
      </c>
      <c r="E44" s="2">
        <v>-8.5749999999999993E-3</v>
      </c>
      <c r="F44" s="2">
        <v>-4.5989999999999998E-3</v>
      </c>
      <c r="G44" s="2">
        <v>2.2769999999999999E-3</v>
      </c>
    </row>
    <row r="45" spans="1:7" x14ac:dyDescent="0.3">
      <c r="A45">
        <v>554</v>
      </c>
      <c r="B45" t="s">
        <v>50</v>
      </c>
      <c r="C45" s="2">
        <v>6.4163999999999999E-2</v>
      </c>
      <c r="D45" s="2">
        <v>5.3086000000000001E-2</v>
      </c>
      <c r="E45" s="2">
        <v>-0.14487700000000001</v>
      </c>
      <c r="F45" s="2">
        <v>1.1077999999999999E-2</v>
      </c>
      <c r="G45" s="2">
        <v>0.209041</v>
      </c>
    </row>
    <row r="46" spans="1:7" x14ac:dyDescent="0.3">
      <c r="A46">
        <v>567</v>
      </c>
      <c r="B46" t="s">
        <v>51</v>
      </c>
      <c r="C46" s="2">
        <v>-1.1004999999999999E-2</v>
      </c>
      <c r="D46" s="2">
        <v>5.8960000000000002E-3</v>
      </c>
      <c r="E46" s="2">
        <v>-6.0199000000000003E-2</v>
      </c>
      <c r="F46" s="2">
        <v>-1.6900999999999999E-2</v>
      </c>
      <c r="G46" s="2">
        <v>4.9194000000000002E-2</v>
      </c>
    </row>
    <row r="47" spans="1:7" x14ac:dyDescent="0.3">
      <c r="A47">
        <v>574</v>
      </c>
      <c r="B47" t="s">
        <v>52</v>
      </c>
      <c r="C47" s="2">
        <v>8.3000000000000001E-4</v>
      </c>
      <c r="D47" s="2">
        <v>-1.4610000000000001E-3</v>
      </c>
      <c r="E47" s="2">
        <v>-3.627E-3</v>
      </c>
      <c r="F47" s="2">
        <v>2.2910000000000001E-3</v>
      </c>
      <c r="G47" s="2">
        <v>4.457E-3</v>
      </c>
    </row>
    <row r="48" spans="1:7" x14ac:dyDescent="0.3">
      <c r="A48">
        <v>575</v>
      </c>
      <c r="B48" t="s">
        <v>53</v>
      </c>
      <c r="C48" s="2">
        <v>2.1151E-2</v>
      </c>
      <c r="D48" s="2">
        <v>-9.3599999999999998E-4</v>
      </c>
      <c r="E48" s="2">
        <v>4.4070000000000003E-3</v>
      </c>
      <c r="F48" s="2">
        <v>2.2086999999999999E-2</v>
      </c>
      <c r="G48" s="2">
        <v>1.6743999999999998E-2</v>
      </c>
    </row>
    <row r="49" spans="1:7" x14ac:dyDescent="0.3">
      <c r="A49">
        <v>588</v>
      </c>
      <c r="B49" t="s">
        <v>54</v>
      </c>
      <c r="C49" s="2">
        <v>0.232873</v>
      </c>
      <c r="D49" s="2">
        <v>0.16347500000000001</v>
      </c>
      <c r="E49" s="2">
        <v>0.11930399999999999</v>
      </c>
      <c r="F49" s="2">
        <v>6.9397999999999987E-2</v>
      </c>
      <c r="G49" s="2">
        <v>0.113569</v>
      </c>
    </row>
    <row r="50" spans="1:7" x14ac:dyDescent="0.3">
      <c r="A50">
        <v>598</v>
      </c>
      <c r="B50" t="s">
        <v>55</v>
      </c>
      <c r="C50" s="2">
        <v>-1.1329999999999999E-3</v>
      </c>
      <c r="D50" s="2">
        <v>8.2399999999999997E-4</v>
      </c>
      <c r="E50" s="2">
        <v>5.0299999999999997E-4</v>
      </c>
      <c r="F50" s="2">
        <v>-1.957E-3</v>
      </c>
      <c r="G50" s="2">
        <v>-1.6360000000000001E-3</v>
      </c>
    </row>
    <row r="51" spans="1:7" x14ac:dyDescent="0.3">
      <c r="A51">
        <v>600</v>
      </c>
      <c r="B51" t="s">
        <v>56</v>
      </c>
      <c r="C51" s="2">
        <v>0.15798200000000001</v>
      </c>
      <c r="D51" s="2">
        <v>5.6820000000000004E-3</v>
      </c>
      <c r="E51" s="2">
        <v>5.5460000000000002E-2</v>
      </c>
      <c r="F51" s="2">
        <v>0.15229999999999999</v>
      </c>
      <c r="G51" s="2">
        <v>0.102522</v>
      </c>
    </row>
    <row r="52" spans="1:7" x14ac:dyDescent="0.3">
      <c r="A52">
        <v>604</v>
      </c>
      <c r="B52" t="s">
        <v>57</v>
      </c>
      <c r="C52" s="2">
        <v>-8.6859999999999993E-3</v>
      </c>
      <c r="D52" s="2">
        <v>-1.2650000000000001E-3</v>
      </c>
      <c r="E52" s="2">
        <v>-1.5932000000000002E-2</v>
      </c>
      <c r="F52" s="2">
        <v>-7.4209999999999988E-3</v>
      </c>
      <c r="G52" s="2">
        <v>7.2460000000000016E-3</v>
      </c>
    </row>
    <row r="53" spans="1:7" x14ac:dyDescent="0.3">
      <c r="A53">
        <v>609</v>
      </c>
      <c r="B53" t="s">
        <v>58</v>
      </c>
      <c r="C53" s="2">
        <v>-4.7840000000000001E-3</v>
      </c>
      <c r="D53" s="2">
        <v>3.0533999999999999E-2</v>
      </c>
      <c r="E53" s="2">
        <v>6.6290000000000003E-3</v>
      </c>
      <c r="F53" s="2">
        <v>-3.5318000000000002E-2</v>
      </c>
      <c r="G53" s="2">
        <v>-1.1413E-2</v>
      </c>
    </row>
    <row r="54" spans="1:7" x14ac:dyDescent="0.3">
      <c r="A54">
        <v>646</v>
      </c>
      <c r="B54" t="s">
        <v>59</v>
      </c>
      <c r="C54" s="2">
        <v>3.8047999999999998E-2</v>
      </c>
      <c r="D54" s="2">
        <v>1.663E-3</v>
      </c>
      <c r="E54" s="2">
        <v>-4.1710000000000002E-3</v>
      </c>
      <c r="F54" s="2">
        <v>3.6385000000000001E-2</v>
      </c>
      <c r="G54" s="2">
        <v>4.2219E-2</v>
      </c>
    </row>
    <row r="55" spans="1:7" x14ac:dyDescent="0.3">
      <c r="A55">
        <v>650</v>
      </c>
      <c r="B55" t="s">
        <v>60</v>
      </c>
      <c r="C55" s="2">
        <v>0.66703299999999999</v>
      </c>
      <c r="D55" s="2">
        <v>1.666037</v>
      </c>
      <c r="E55" s="2">
        <v>0.29669200000000001</v>
      </c>
      <c r="F55" s="2">
        <v>-0.999004</v>
      </c>
      <c r="G55" s="2">
        <v>0.37034099999999998</v>
      </c>
    </row>
    <row r="56" spans="1:7" x14ac:dyDescent="0.3">
      <c r="A56">
        <v>665</v>
      </c>
      <c r="B56" t="s">
        <v>61</v>
      </c>
      <c r="C56" s="2">
        <v>5.0489999999999997E-3</v>
      </c>
      <c r="D56" s="2">
        <v>5.6389999999999999E-3</v>
      </c>
      <c r="E56" s="2">
        <v>5.3930000000000002E-3</v>
      </c>
      <c r="F56" s="2">
        <v>-5.9000000000000025E-4</v>
      </c>
      <c r="G56" s="2">
        <v>-3.4400000000000061E-4</v>
      </c>
    </row>
    <row r="57" spans="1:7" x14ac:dyDescent="0.3">
      <c r="A57">
        <v>685</v>
      </c>
      <c r="B57" t="s">
        <v>62</v>
      </c>
      <c r="C57" s="2">
        <v>-7.2599999999999997E-4</v>
      </c>
      <c r="D57" s="2">
        <v>-1.7641E-2</v>
      </c>
      <c r="E57" s="2">
        <v>-3.0360000000000001E-3</v>
      </c>
      <c r="F57" s="2">
        <v>1.6914999999999999E-2</v>
      </c>
      <c r="G57" s="2">
        <v>2.31E-3</v>
      </c>
    </row>
    <row r="58" spans="1:7" x14ac:dyDescent="0.3">
      <c r="A58">
        <v>695</v>
      </c>
      <c r="B58" t="s">
        <v>63</v>
      </c>
      <c r="C58" s="2">
        <v>-6.2760000000000003E-3</v>
      </c>
      <c r="D58" s="2">
        <v>1.7260999999999999E-2</v>
      </c>
      <c r="E58" s="2">
        <v>-5.1729999999999996E-3</v>
      </c>
      <c r="F58" s="2">
        <v>-2.3536999999999999E-2</v>
      </c>
      <c r="G58" s="2">
        <v>-1.1030000000000009E-3</v>
      </c>
    </row>
    <row r="59" spans="1:7" x14ac:dyDescent="0.3">
      <c r="A59">
        <v>702</v>
      </c>
      <c r="B59" t="s">
        <v>64</v>
      </c>
      <c r="C59" s="2">
        <v>1.2231000000000001E-2</v>
      </c>
      <c r="D59" s="2">
        <v>2.63E-4</v>
      </c>
      <c r="E59" s="2">
        <v>-1.8860000000000001E-3</v>
      </c>
      <c r="F59" s="2">
        <v>1.1967999999999999E-2</v>
      </c>
      <c r="G59" s="2">
        <v>1.4116999999999999E-2</v>
      </c>
    </row>
    <row r="60" spans="1:7" x14ac:dyDescent="0.3">
      <c r="A60">
        <v>705</v>
      </c>
      <c r="B60" t="s">
        <v>65</v>
      </c>
      <c r="C60" s="2">
        <v>-0.25118699999999999</v>
      </c>
      <c r="D60" s="2">
        <v>0.33311099999999999</v>
      </c>
      <c r="E60" s="2">
        <v>-0.194191</v>
      </c>
      <c r="F60" s="2">
        <v>-0.58429799999999998</v>
      </c>
      <c r="G60" s="2">
        <v>-5.6995999999999991E-2</v>
      </c>
    </row>
    <row r="61" spans="1:7" x14ac:dyDescent="0.3">
      <c r="A61">
        <v>708</v>
      </c>
      <c r="B61" t="s">
        <v>66</v>
      </c>
      <c r="C61" s="2">
        <v>4.5849000000000001E-2</v>
      </c>
      <c r="D61" s="2">
        <v>-5.0236000000000003E-2</v>
      </c>
      <c r="E61" s="2">
        <v>1.0966999999999999E-2</v>
      </c>
      <c r="F61" s="2">
        <v>9.6085000000000004E-2</v>
      </c>
      <c r="G61" s="2">
        <v>3.4882000000000003E-2</v>
      </c>
    </row>
    <row r="62" spans="1:7" x14ac:dyDescent="0.3">
      <c r="A62">
        <v>760</v>
      </c>
      <c r="B62" t="s">
        <v>67</v>
      </c>
      <c r="C62" s="2">
        <v>6.8149999999999999E-3</v>
      </c>
      <c r="D62" s="2">
        <v>-3.9410000000000001E-3</v>
      </c>
      <c r="E62" s="2">
        <v>-8.4600000000000005E-3</v>
      </c>
      <c r="F62" s="2">
        <v>1.0756E-2</v>
      </c>
      <c r="G62" s="2">
        <v>1.5275E-2</v>
      </c>
    </row>
    <row r="63" spans="1:7" x14ac:dyDescent="0.3">
      <c r="A63">
        <v>779</v>
      </c>
      <c r="B63" t="s">
        <v>68</v>
      </c>
      <c r="C63" s="2">
        <v>6.0670000000000003E-3</v>
      </c>
      <c r="D63" s="2">
        <v>1.92E-4</v>
      </c>
      <c r="E63" s="2">
        <v>5.143E-3</v>
      </c>
      <c r="F63" s="2">
        <v>5.875E-3</v>
      </c>
      <c r="G63" s="2">
        <v>9.2400000000000034E-4</v>
      </c>
    </row>
    <row r="64" spans="1:7" x14ac:dyDescent="0.3">
      <c r="A64">
        <v>783</v>
      </c>
      <c r="B64" t="s">
        <v>69</v>
      </c>
      <c r="C64" s="2">
        <v>-2.7799000000000001E-2</v>
      </c>
      <c r="D64" s="2">
        <v>5.7896000000000003E-2</v>
      </c>
      <c r="E64" s="2">
        <v>-4.3820999999999999E-2</v>
      </c>
      <c r="F64" s="2">
        <v>-8.5695000000000007E-2</v>
      </c>
      <c r="G64" s="2">
        <v>1.6022000000000002E-2</v>
      </c>
    </row>
    <row r="65" spans="1:7" x14ac:dyDescent="0.3">
      <c r="A65">
        <v>784</v>
      </c>
      <c r="B65" t="s">
        <v>70</v>
      </c>
      <c r="C65" s="2"/>
      <c r="D65" s="2"/>
      <c r="E65" s="2">
        <v>1.9484000000000001E-2</v>
      </c>
      <c r="F65" s="2"/>
      <c r="G65" s="2"/>
    </row>
    <row r="66" spans="1:7" x14ac:dyDescent="0.3">
      <c r="A66">
        <v>804</v>
      </c>
      <c r="B66" t="s">
        <v>71</v>
      </c>
      <c r="C66" s="2">
        <v>3.88E-4</v>
      </c>
      <c r="D66" s="2">
        <v>6.6299999999999996E-4</v>
      </c>
      <c r="E66" s="2">
        <v>-4.4900000000000002E-4</v>
      </c>
      <c r="F66" s="2">
        <v>-2.7500000000000002E-4</v>
      </c>
      <c r="G66" s="2">
        <v>8.3700000000000007E-4</v>
      </c>
    </row>
    <row r="67" spans="1:7" x14ac:dyDescent="0.3">
      <c r="A67">
        <v>817</v>
      </c>
      <c r="B67" t="s">
        <v>72</v>
      </c>
      <c r="C67" s="2">
        <v>-1.5987999999999999E-2</v>
      </c>
      <c r="D67" s="2">
        <v>-7.4367000000000003E-2</v>
      </c>
      <c r="E67" s="2">
        <v>-1.048E-2</v>
      </c>
      <c r="F67" s="2">
        <v>5.8379E-2</v>
      </c>
      <c r="G67" s="2">
        <v>-5.507999999999999E-3</v>
      </c>
    </row>
    <row r="68" spans="1:7" x14ac:dyDescent="0.3">
      <c r="A68">
        <v>841</v>
      </c>
      <c r="B68" t="s">
        <v>73</v>
      </c>
      <c r="C68" s="2">
        <v>-3.1840000000000002E-3</v>
      </c>
      <c r="D68" s="2">
        <v>-1.555E-3</v>
      </c>
      <c r="E68" s="2">
        <v>2.9499999999999999E-3</v>
      </c>
      <c r="F68" s="2">
        <v>-1.629E-3</v>
      </c>
      <c r="G68" s="2">
        <v>-6.1340000000000014E-3</v>
      </c>
    </row>
    <row r="69" spans="1:7" x14ac:dyDescent="0.3">
      <c r="A69">
        <v>842</v>
      </c>
      <c r="B69" t="s">
        <v>74</v>
      </c>
      <c r="C69" s="2">
        <v>-2.0775999999999999E-2</v>
      </c>
      <c r="D69" s="2">
        <v>4.777E-3</v>
      </c>
      <c r="E69" s="2">
        <v>-1.7305000000000001E-2</v>
      </c>
      <c r="F69" s="2">
        <v>-2.5552999999999999E-2</v>
      </c>
      <c r="G69" s="2">
        <v>-3.470999999999998E-3</v>
      </c>
    </row>
    <row r="70" spans="1:7" x14ac:dyDescent="0.3">
      <c r="A70">
        <v>843</v>
      </c>
      <c r="B70" t="s">
        <v>75</v>
      </c>
      <c r="C70" s="2">
        <v>-1.3631000000000001E-2</v>
      </c>
      <c r="D70" s="2">
        <v>6.6017000000000006E-2</v>
      </c>
      <c r="E70" s="2">
        <v>-0.25895400000000002</v>
      </c>
      <c r="F70" s="2">
        <v>-7.964800000000001E-2</v>
      </c>
      <c r="G70" s="2">
        <v>0.24532300000000001</v>
      </c>
    </row>
    <row r="71" spans="1:7" x14ac:dyDescent="0.3">
      <c r="A71">
        <v>857</v>
      </c>
      <c r="B71" t="s">
        <v>76</v>
      </c>
      <c r="C71" s="2">
        <v>-4.0489999999999996E-3</v>
      </c>
      <c r="D71" s="2">
        <v>-5.2399999999999999E-3</v>
      </c>
      <c r="E71" s="2">
        <v>-1.668E-3</v>
      </c>
      <c r="F71" s="2">
        <v>1.191E-3</v>
      </c>
      <c r="G71" s="2">
        <v>-2.380999999999999E-3</v>
      </c>
    </row>
    <row r="72" spans="1:7" x14ac:dyDescent="0.3">
      <c r="A72">
        <v>874</v>
      </c>
      <c r="B72" t="s">
        <v>77</v>
      </c>
      <c r="C72" s="2"/>
      <c r="D72" s="2"/>
      <c r="E72" s="2">
        <v>-5.7799999999999997E-2</v>
      </c>
      <c r="F72" s="2"/>
      <c r="G72" s="2"/>
    </row>
    <row r="73" spans="1:7" x14ac:dyDescent="0.3">
      <c r="A73">
        <v>875</v>
      </c>
      <c r="B73" t="s">
        <v>78</v>
      </c>
      <c r="C73" s="2">
        <v>1.059E-3</v>
      </c>
      <c r="D73" s="2">
        <v>-9.6000000000000002E-4</v>
      </c>
      <c r="E73" s="2">
        <v>6.5499999999999998E-4</v>
      </c>
      <c r="F73" s="2">
        <v>2.019E-3</v>
      </c>
      <c r="G73" s="2">
        <v>4.0400000000000012E-4</v>
      </c>
    </row>
    <row r="74" spans="1:7" x14ac:dyDescent="0.3">
      <c r="A74">
        <v>902</v>
      </c>
      <c r="B74" t="s">
        <v>79</v>
      </c>
      <c r="C74" s="2">
        <v>3.4229999999999997E-2</v>
      </c>
      <c r="D74" s="2">
        <v>2.6731000000000001E-2</v>
      </c>
      <c r="E74" s="2">
        <v>-8.9413000000000006E-2</v>
      </c>
      <c r="F74" s="2">
        <v>7.4989999999999953E-3</v>
      </c>
      <c r="G74" s="2">
        <v>0.123643</v>
      </c>
    </row>
    <row r="75" spans="1:7" x14ac:dyDescent="0.3">
      <c r="A75">
        <v>903</v>
      </c>
      <c r="B75" t="s">
        <v>80</v>
      </c>
      <c r="C75" s="2">
        <v>-3.9549000000000001E-2</v>
      </c>
      <c r="D75" s="2">
        <v>1.856E-3</v>
      </c>
      <c r="E75" s="2">
        <v>-1.933E-3</v>
      </c>
      <c r="F75" s="2">
        <v>-4.1404999999999997E-2</v>
      </c>
      <c r="G75" s="2">
        <v>-3.7615999999999997E-2</v>
      </c>
    </row>
    <row r="76" spans="1:7" x14ac:dyDescent="0.3">
      <c r="A76">
        <v>912</v>
      </c>
      <c r="B76" t="s">
        <v>81</v>
      </c>
      <c r="C76" s="2">
        <v>8.4351999999999996E-2</v>
      </c>
      <c r="D76" s="2">
        <v>3.0196360000000002</v>
      </c>
      <c r="E76" s="2">
        <v>-0.355327</v>
      </c>
      <c r="F76" s="2">
        <v>-2.9352839999999998</v>
      </c>
      <c r="G76" s="2">
        <v>0.43967899999999999</v>
      </c>
    </row>
    <row r="77" spans="1:7" x14ac:dyDescent="0.3">
      <c r="A77">
        <v>918</v>
      </c>
      <c r="B77" t="s">
        <v>82</v>
      </c>
      <c r="C77" s="2">
        <v>5.6564999999999997E-2</v>
      </c>
      <c r="D77" s="2">
        <v>0.28960200000000003</v>
      </c>
      <c r="E77" s="2">
        <v>0.32437199999999999</v>
      </c>
      <c r="F77" s="2">
        <v>-0.23303699999999999</v>
      </c>
      <c r="G77" s="2">
        <v>-0.26780700000000002</v>
      </c>
    </row>
    <row r="78" spans="1:7" x14ac:dyDescent="0.3">
      <c r="A78">
        <v>933</v>
      </c>
      <c r="B78" t="s">
        <v>83</v>
      </c>
      <c r="C78" s="2">
        <v>-2.2800000000000001E-4</v>
      </c>
      <c r="D78" s="2">
        <v>2.2800000000000001E-4</v>
      </c>
      <c r="E78" s="2">
        <v>-5.2499999999999997E-4</v>
      </c>
      <c r="F78" s="2">
        <v>-4.5600000000000003E-4</v>
      </c>
      <c r="G78" s="2">
        <v>2.9700000000000001E-4</v>
      </c>
    </row>
    <row r="79" spans="1:7" x14ac:dyDescent="0.3">
      <c r="A79">
        <v>937</v>
      </c>
      <c r="B79" t="s">
        <v>84</v>
      </c>
      <c r="C79" s="2">
        <v>1.622E-3</v>
      </c>
      <c r="D79" s="2">
        <v>7.0399999999999998E-4</v>
      </c>
      <c r="E79" s="2">
        <v>7.2329999999999998E-3</v>
      </c>
      <c r="F79" s="2">
        <v>9.1799999999999998E-4</v>
      </c>
      <c r="G79" s="2">
        <v>-5.6109999999999997E-3</v>
      </c>
    </row>
    <row r="80" spans="1:7" x14ac:dyDescent="0.3">
      <c r="A80">
        <v>963</v>
      </c>
      <c r="B80" t="s">
        <v>85</v>
      </c>
      <c r="C80" s="2">
        <v>6.6817760000000002</v>
      </c>
      <c r="D80" s="2">
        <v>0.61587899999999995</v>
      </c>
      <c r="E80" s="2">
        <v>0.95553900000000003</v>
      </c>
      <c r="F80" s="2">
        <v>6.0658970000000014</v>
      </c>
      <c r="G80" s="2">
        <v>5.7262370000000002</v>
      </c>
    </row>
    <row r="81" spans="1:7" x14ac:dyDescent="0.3">
      <c r="A81">
        <v>965</v>
      </c>
      <c r="B81" t="s">
        <v>86</v>
      </c>
      <c r="C81" s="2">
        <v>8.7999999999999998E-5</v>
      </c>
      <c r="D81" s="2">
        <v>6.4999999999999994E-5</v>
      </c>
      <c r="E81" s="2">
        <v>5.6210000000000001E-3</v>
      </c>
      <c r="F81" s="2">
        <v>2.3E-5</v>
      </c>
      <c r="G81" s="2">
        <v>-5.5329999999999997E-3</v>
      </c>
    </row>
    <row r="82" spans="1:7" x14ac:dyDescent="0.3">
      <c r="A82">
        <v>969</v>
      </c>
      <c r="B82" t="s">
        <v>87</v>
      </c>
      <c r="C82" s="2">
        <v>-1.0200000000000001E-3</v>
      </c>
      <c r="D82" s="2">
        <v>-4.9829999999999996E-3</v>
      </c>
      <c r="E82" s="2">
        <v>-4.3686000000000003E-2</v>
      </c>
      <c r="F82" s="2">
        <v>3.9630000000000004E-3</v>
      </c>
      <c r="G82" s="2">
        <v>4.2666000000000003E-2</v>
      </c>
    </row>
    <row r="83" spans="1:7" x14ac:dyDescent="0.3">
      <c r="A83">
        <v>990</v>
      </c>
      <c r="B83" t="s">
        <v>88</v>
      </c>
      <c r="C83" s="2">
        <v>2.9399999999999999E-4</v>
      </c>
      <c r="D83" s="2">
        <v>7.1900000000000002E-4</v>
      </c>
      <c r="E83" s="2">
        <v>1.4599999999999999E-3</v>
      </c>
      <c r="F83" s="2">
        <v>-4.2499999999999998E-4</v>
      </c>
      <c r="G83" s="2">
        <v>-1.1659999999999999E-3</v>
      </c>
    </row>
    <row r="84" spans="1:7" x14ac:dyDescent="0.3">
      <c r="A84">
        <v>1000</v>
      </c>
      <c r="B84" t="s">
        <v>89</v>
      </c>
      <c r="C84" s="2">
        <v>25.398679999999999</v>
      </c>
      <c r="D84" s="2">
        <v>9.3779590000000006</v>
      </c>
      <c r="E84" s="2">
        <v>0.93206500000000003</v>
      </c>
      <c r="F84" s="2">
        <v>16.020721000000002</v>
      </c>
      <c r="G84" s="2">
        <v>24.466615000000001</v>
      </c>
    </row>
    <row r="85" spans="1:7" x14ac:dyDescent="0.3">
      <c r="A85">
        <v>1016</v>
      </c>
      <c r="B85" t="s">
        <v>90</v>
      </c>
      <c r="C85" s="2">
        <v>1.119E-3</v>
      </c>
      <c r="D85" s="2">
        <v>-8.1099999999999998E-4</v>
      </c>
      <c r="E85" s="2">
        <v>2.441E-3</v>
      </c>
      <c r="F85" s="2">
        <v>1.9300000000000001E-3</v>
      </c>
      <c r="G85" s="2">
        <v>-1.322E-3</v>
      </c>
    </row>
    <row r="86" spans="1:7" x14ac:dyDescent="0.3">
      <c r="A86">
        <v>1027</v>
      </c>
      <c r="B86" t="s">
        <v>91</v>
      </c>
      <c r="C86" s="2"/>
      <c r="D86" s="2"/>
      <c r="E86" s="2">
        <v>7.3280000000000003E-3</v>
      </c>
      <c r="F86" s="2"/>
      <c r="G86" s="2"/>
    </row>
    <row r="87" spans="1:7" x14ac:dyDescent="0.3">
      <c r="A87">
        <v>1046</v>
      </c>
      <c r="B87" t="s">
        <v>92</v>
      </c>
      <c r="C87" s="2">
        <v>2.6319999999999998E-3</v>
      </c>
      <c r="D87" s="2">
        <v>-3.3500000000000001E-3</v>
      </c>
      <c r="E87" s="2">
        <v>1.5939999999999999E-3</v>
      </c>
      <c r="F87" s="2">
        <v>5.9819999999999986E-3</v>
      </c>
      <c r="G87" s="2">
        <v>1.0380000000000001E-3</v>
      </c>
    </row>
    <row r="88" spans="1:7" x14ac:dyDescent="0.3">
      <c r="A88">
        <v>1049</v>
      </c>
      <c r="B88" t="s">
        <v>93</v>
      </c>
      <c r="C88" s="2">
        <v>9.3130000000000001E-3</v>
      </c>
      <c r="D88" s="2">
        <v>9.4389999999999995E-3</v>
      </c>
      <c r="E88" s="2">
        <v>3.8869999999999998E-3</v>
      </c>
      <c r="F88" s="2">
        <v>-1.259999999999994E-4</v>
      </c>
      <c r="G88" s="2">
        <v>5.4260000000000003E-3</v>
      </c>
    </row>
    <row r="89" spans="1:7" x14ac:dyDescent="0.3">
      <c r="A89">
        <v>1052</v>
      </c>
      <c r="B89" t="s">
        <v>94</v>
      </c>
      <c r="C89" s="2">
        <v>4.0969999999999999E-3</v>
      </c>
      <c r="D89" s="2">
        <v>1.8580000000000001E-3</v>
      </c>
      <c r="E89" s="2">
        <v>1.3181E-2</v>
      </c>
      <c r="F89" s="2">
        <v>2.2390000000000001E-3</v>
      </c>
      <c r="G89" s="2">
        <v>-9.0840000000000001E-3</v>
      </c>
    </row>
    <row r="90" spans="1:7" x14ac:dyDescent="0.3">
      <c r="A90">
        <v>1067</v>
      </c>
      <c r="B90" t="s">
        <v>95</v>
      </c>
      <c r="C90" s="2">
        <v>1.6702000000000002E-2</v>
      </c>
      <c r="D90" s="2">
        <v>4.7549999999999997E-3</v>
      </c>
      <c r="E90" s="2">
        <v>1.4042000000000001E-2</v>
      </c>
      <c r="F90" s="2">
        <v>1.1946999999999999E-2</v>
      </c>
      <c r="G90" s="2">
        <v>2.6600000000000009E-3</v>
      </c>
    </row>
    <row r="91" spans="1:7" x14ac:dyDescent="0.3">
      <c r="A91">
        <v>1071</v>
      </c>
      <c r="B91" t="s">
        <v>96</v>
      </c>
      <c r="C91" s="2">
        <v>-3.7369999999999999E-3</v>
      </c>
      <c r="D91" s="2">
        <v>-3.4237999999999998E-2</v>
      </c>
      <c r="E91" s="2">
        <v>-1.516E-3</v>
      </c>
      <c r="F91" s="2">
        <v>3.0501E-2</v>
      </c>
      <c r="G91" s="2">
        <v>-2.2209999999999999E-3</v>
      </c>
    </row>
    <row r="92" spans="1:7" x14ac:dyDescent="0.3">
      <c r="A92">
        <v>1087</v>
      </c>
      <c r="B92" t="s">
        <v>97</v>
      </c>
      <c r="C92" s="2">
        <v>-1.324E-2</v>
      </c>
      <c r="D92" s="2">
        <v>-1.7899999999999999E-2</v>
      </c>
      <c r="E92" s="2">
        <v>-4.7962999999999999E-2</v>
      </c>
      <c r="F92" s="2">
        <v>4.6599999999999992E-3</v>
      </c>
      <c r="G92" s="2">
        <v>3.4722999999999997E-2</v>
      </c>
    </row>
    <row r="93" spans="1:7" x14ac:dyDescent="0.3">
      <c r="A93">
        <v>1114</v>
      </c>
      <c r="B93" t="s">
        <v>98</v>
      </c>
      <c r="C93" s="2">
        <v>-9.9500000000000001E-4</v>
      </c>
      <c r="D93" s="2">
        <v>6.7999999999999999E-5</v>
      </c>
      <c r="E93" s="2">
        <v>-1.7000000000000001E-4</v>
      </c>
      <c r="F93" s="2">
        <v>-1.0629999999999999E-3</v>
      </c>
      <c r="G93" s="2">
        <v>-8.25E-4</v>
      </c>
    </row>
    <row r="94" spans="1:7" x14ac:dyDescent="0.3">
      <c r="A94">
        <v>1115</v>
      </c>
      <c r="B94" t="s">
        <v>99</v>
      </c>
      <c r="C94" s="2">
        <v>2.2409999999999999E-3</v>
      </c>
      <c r="D94" s="2">
        <v>3.4499999999999999E-3</v>
      </c>
      <c r="E94" s="2">
        <v>2.6020000000000001E-3</v>
      </c>
      <c r="F94" s="2">
        <v>-1.209E-3</v>
      </c>
      <c r="G94" s="2">
        <v>-3.6100000000000021E-4</v>
      </c>
    </row>
    <row r="95" spans="1:7" x14ac:dyDescent="0.3">
      <c r="A95">
        <v>1136</v>
      </c>
      <c r="B95" t="s">
        <v>100</v>
      </c>
      <c r="C95" s="2"/>
      <c r="D95" s="2"/>
      <c r="E95" s="2">
        <v>-3.8670000000000002E-3</v>
      </c>
      <c r="F95" s="2"/>
      <c r="G95" s="2"/>
    </row>
    <row r="96" spans="1:7" x14ac:dyDescent="0.3">
      <c r="A96">
        <v>1143</v>
      </c>
      <c r="B96" t="s">
        <v>101</v>
      </c>
      <c r="C96" s="2">
        <v>-3.2385999999999998E-2</v>
      </c>
      <c r="D96" s="2">
        <v>5.6334000000000002E-2</v>
      </c>
      <c r="E96" s="2">
        <v>4.9185E-2</v>
      </c>
      <c r="F96" s="2">
        <v>-8.8719999999999993E-2</v>
      </c>
      <c r="G96" s="2">
        <v>-8.1571000000000005E-2</v>
      </c>
    </row>
    <row r="97" spans="1:7" x14ac:dyDescent="0.3">
      <c r="A97">
        <v>1144</v>
      </c>
      <c r="B97" t="s">
        <v>102</v>
      </c>
      <c r="C97" s="2">
        <v>7.0099999999999997E-3</v>
      </c>
      <c r="D97" s="2">
        <v>2.8219999999999999E-3</v>
      </c>
      <c r="E97" s="2">
        <v>-1.145E-3</v>
      </c>
      <c r="F97" s="2">
        <v>4.1879999999999999E-3</v>
      </c>
      <c r="G97" s="2">
        <v>8.1549999999999991E-3</v>
      </c>
    </row>
    <row r="98" spans="1:7" x14ac:dyDescent="0.3">
      <c r="A98">
        <v>1151</v>
      </c>
      <c r="B98" t="s">
        <v>103</v>
      </c>
      <c r="C98" s="2">
        <v>-2.2720000000000001E-3</v>
      </c>
      <c r="D98" s="2">
        <v>-3.0209999999999998E-3</v>
      </c>
      <c r="E98" s="2">
        <v>-2.222E-3</v>
      </c>
      <c r="F98" s="2">
        <v>7.4899999999999967E-4</v>
      </c>
      <c r="G98" s="2">
        <v>-5.0000000000000131E-5</v>
      </c>
    </row>
    <row r="99" spans="1:7" x14ac:dyDescent="0.3">
      <c r="A99">
        <v>1158</v>
      </c>
      <c r="B99" t="s">
        <v>104</v>
      </c>
      <c r="C99" s="2">
        <v>-7.6689999999999996E-3</v>
      </c>
      <c r="D99" s="2">
        <v>7.4380000000000002E-3</v>
      </c>
      <c r="E99" s="2">
        <v>1.4469999999999999E-3</v>
      </c>
      <c r="F99" s="2">
        <v>-1.5107000000000001E-2</v>
      </c>
      <c r="G99" s="2">
        <v>-9.1159999999999991E-3</v>
      </c>
    </row>
    <row r="100" spans="1:7" x14ac:dyDescent="0.3">
      <c r="A100">
        <v>1189</v>
      </c>
      <c r="B100" t="s">
        <v>105</v>
      </c>
      <c r="C100" s="2">
        <v>1.1449000000000001E-2</v>
      </c>
      <c r="D100" s="2">
        <v>1.0747E-2</v>
      </c>
      <c r="E100" s="2">
        <v>-0.49410599999999999</v>
      </c>
      <c r="F100" s="2">
        <v>7.0200000000000123E-4</v>
      </c>
      <c r="G100" s="2">
        <v>0.50555499999999998</v>
      </c>
    </row>
    <row r="101" spans="1:7" x14ac:dyDescent="0.3">
      <c r="A101">
        <v>1281</v>
      </c>
      <c r="B101" t="s">
        <v>106</v>
      </c>
      <c r="C101" s="2">
        <v>4.8760000000000001E-3</v>
      </c>
      <c r="D101" s="2">
        <v>2.1100000000000001E-4</v>
      </c>
      <c r="E101" s="2">
        <v>6.1919999999999996E-3</v>
      </c>
      <c r="F101" s="2">
        <v>4.6649999999999999E-3</v>
      </c>
      <c r="G101" s="2">
        <v>-1.315999999999999E-3</v>
      </c>
    </row>
    <row r="102" spans="1:7" x14ac:dyDescent="0.3">
      <c r="A102">
        <v>1288</v>
      </c>
      <c r="B102" t="s">
        <v>107</v>
      </c>
      <c r="C102" s="2">
        <v>-3.4770000000000001E-3</v>
      </c>
      <c r="D102" s="2">
        <v>-1.025E-2</v>
      </c>
      <c r="E102" s="2">
        <v>-8.3330000000000001E-3</v>
      </c>
      <c r="F102" s="2">
        <v>6.7730000000000004E-3</v>
      </c>
      <c r="G102" s="2">
        <v>4.8560000000000001E-3</v>
      </c>
    </row>
    <row r="103" spans="1:7" x14ac:dyDescent="0.3">
      <c r="A103">
        <v>1291</v>
      </c>
      <c r="B103" t="s">
        <v>108</v>
      </c>
      <c r="C103" s="2">
        <v>4.6210000000000001E-3</v>
      </c>
      <c r="D103" s="2">
        <v>-7.2230000000000003E-3</v>
      </c>
      <c r="E103" s="2">
        <v>6.0060000000000001E-3</v>
      </c>
      <c r="F103" s="2">
        <v>1.1844E-2</v>
      </c>
      <c r="G103" s="2">
        <v>-1.3849999999999999E-3</v>
      </c>
    </row>
    <row r="104" spans="1:7" x14ac:dyDescent="0.3">
      <c r="A104">
        <v>1293</v>
      </c>
      <c r="B104" t="s">
        <v>109</v>
      </c>
      <c r="C104" s="2"/>
      <c r="D104" s="2"/>
      <c r="E104" s="2">
        <v>-2.9904E-2</v>
      </c>
      <c r="F104" s="2"/>
      <c r="G104" s="2"/>
    </row>
    <row r="105" spans="1:7" x14ac:dyDescent="0.3">
      <c r="A105">
        <v>1307</v>
      </c>
      <c r="B105" t="s">
        <v>110</v>
      </c>
      <c r="C105" s="2">
        <v>-1.4515999999999999E-2</v>
      </c>
      <c r="D105" s="2">
        <v>-7.4725E-2</v>
      </c>
      <c r="E105" s="2">
        <v>-0.117317</v>
      </c>
      <c r="F105" s="2">
        <v>6.0208999999999999E-2</v>
      </c>
      <c r="G105" s="2">
        <v>0.102801</v>
      </c>
    </row>
    <row r="106" spans="1:7" x14ac:dyDescent="0.3">
      <c r="A106">
        <v>1309</v>
      </c>
      <c r="B106" t="s">
        <v>111</v>
      </c>
      <c r="C106" s="2"/>
      <c r="D106" s="2"/>
      <c r="E106" s="2">
        <v>-1.941E-3</v>
      </c>
      <c r="F106" s="2"/>
      <c r="G106" s="2"/>
    </row>
    <row r="107" spans="1:7" x14ac:dyDescent="0.3">
      <c r="A107">
        <v>1312</v>
      </c>
      <c r="B107" t="s">
        <v>112</v>
      </c>
      <c r="C107" s="2">
        <v>-1.157E-3</v>
      </c>
      <c r="D107" s="2">
        <v>6.43E-3</v>
      </c>
      <c r="E107" s="2">
        <v>-2.05E-4</v>
      </c>
      <c r="F107" s="2">
        <v>-7.587E-3</v>
      </c>
      <c r="G107" s="2">
        <v>-9.5200000000000005E-4</v>
      </c>
    </row>
    <row r="108" spans="1:7" x14ac:dyDescent="0.3">
      <c r="A108">
        <v>1317</v>
      </c>
      <c r="B108" t="s">
        <v>113</v>
      </c>
      <c r="C108" s="2"/>
      <c r="D108" s="2"/>
      <c r="E108" s="2">
        <v>5.0020000000000004E-3</v>
      </c>
      <c r="F108" s="2"/>
      <c r="G108" s="2"/>
    </row>
    <row r="109" spans="1:7" x14ac:dyDescent="0.3">
      <c r="A109">
        <v>1319</v>
      </c>
      <c r="B109" t="s">
        <v>114</v>
      </c>
      <c r="C109" s="2">
        <v>-2.6987000000000001E-2</v>
      </c>
      <c r="D109" s="2">
        <v>3.6089999999999998E-3</v>
      </c>
      <c r="E109" s="2">
        <v>-8.2283999999999996E-2</v>
      </c>
      <c r="F109" s="2">
        <v>-3.0596000000000002E-2</v>
      </c>
      <c r="G109" s="2">
        <v>5.5296999999999999E-2</v>
      </c>
    </row>
    <row r="110" spans="1:7" x14ac:dyDescent="0.3">
      <c r="A110">
        <v>1326</v>
      </c>
      <c r="B110" t="s">
        <v>115</v>
      </c>
      <c r="C110" s="2">
        <v>21.481856000000001</v>
      </c>
      <c r="D110" s="2">
        <v>14.585678</v>
      </c>
      <c r="E110" s="2">
        <v>-43.450114999999997</v>
      </c>
      <c r="F110" s="2">
        <v>6.8961780000000008</v>
      </c>
      <c r="G110" s="2">
        <v>64.931971000000004</v>
      </c>
    </row>
    <row r="111" spans="1:7" x14ac:dyDescent="0.3">
      <c r="A111">
        <v>1329</v>
      </c>
      <c r="B111" t="s">
        <v>116</v>
      </c>
      <c r="C111" s="2">
        <v>-1.547E-3</v>
      </c>
      <c r="D111" s="2">
        <v>-2.9000000000000001E-2</v>
      </c>
      <c r="E111" s="2">
        <v>-5.6508999999999997E-2</v>
      </c>
      <c r="F111" s="2">
        <v>2.7453000000000002E-2</v>
      </c>
      <c r="G111" s="2">
        <v>5.4961999999999997E-2</v>
      </c>
    </row>
    <row r="112" spans="1:7" x14ac:dyDescent="0.3">
      <c r="A112">
        <v>1343</v>
      </c>
      <c r="B112" t="s">
        <v>117</v>
      </c>
      <c r="C112" s="2">
        <v>0.14605499999999999</v>
      </c>
      <c r="D112" s="2">
        <v>0.18973599999999999</v>
      </c>
      <c r="E112" s="2">
        <v>6.8316000000000002E-2</v>
      </c>
      <c r="F112" s="2">
        <v>-4.3680999999999998E-2</v>
      </c>
      <c r="G112" s="2">
        <v>7.7738999999999989E-2</v>
      </c>
    </row>
    <row r="113" spans="1:7" x14ac:dyDescent="0.3">
      <c r="A113">
        <v>1352</v>
      </c>
      <c r="B113" t="s">
        <v>118</v>
      </c>
      <c r="C113" s="2">
        <v>1.3984999999999999E-2</v>
      </c>
      <c r="D113" s="2">
        <v>1.0241999999999999E-2</v>
      </c>
      <c r="E113" s="2">
        <v>5.2649999999999997E-3</v>
      </c>
      <c r="F113" s="2">
        <v>3.7429999999999998E-3</v>
      </c>
      <c r="G113" s="2">
        <v>8.7199999999999986E-3</v>
      </c>
    </row>
    <row r="114" spans="1:7" x14ac:dyDescent="0.3">
      <c r="A114">
        <v>1354</v>
      </c>
      <c r="B114" t="s">
        <v>119</v>
      </c>
      <c r="C114" s="2">
        <v>-0.85200200000000004</v>
      </c>
      <c r="D114" s="2">
        <v>1.358563</v>
      </c>
      <c r="E114" s="2">
        <v>-1.0389470000000001</v>
      </c>
      <c r="F114" s="2">
        <v>-2.2105649999999999</v>
      </c>
      <c r="G114" s="2">
        <v>0.186945</v>
      </c>
    </row>
    <row r="115" spans="1:7" x14ac:dyDescent="0.3">
      <c r="A115">
        <v>1370</v>
      </c>
      <c r="B115" t="s">
        <v>120</v>
      </c>
      <c r="C115" s="2">
        <v>-6.6800000000000002E-3</v>
      </c>
      <c r="D115" s="2">
        <v>-1.5100000000000001E-3</v>
      </c>
      <c r="E115" s="2">
        <v>-1.441E-3</v>
      </c>
      <c r="F115" s="2">
        <v>-5.1700000000000001E-3</v>
      </c>
      <c r="G115" s="2">
        <v>-5.2390000000000006E-3</v>
      </c>
    </row>
    <row r="116" spans="1:7" x14ac:dyDescent="0.3">
      <c r="A116">
        <v>1376</v>
      </c>
      <c r="B116" t="s">
        <v>121</v>
      </c>
      <c r="C116" s="2">
        <v>2.6210000000000001E-3</v>
      </c>
      <c r="D116" s="2">
        <v>2.9151E-2</v>
      </c>
      <c r="E116" s="2">
        <v>4.3531E-2</v>
      </c>
      <c r="F116" s="2">
        <v>-2.6530000000000001E-2</v>
      </c>
      <c r="G116" s="2">
        <v>-4.0910000000000002E-2</v>
      </c>
    </row>
    <row r="117" spans="1:7" x14ac:dyDescent="0.3">
      <c r="A117">
        <v>1399</v>
      </c>
      <c r="B117" t="s">
        <v>122</v>
      </c>
      <c r="C117" s="2">
        <v>1.933E-3</v>
      </c>
      <c r="D117" s="2">
        <v>-8.2679999999999993E-3</v>
      </c>
      <c r="E117" s="2">
        <v>8.7340000000000004E-3</v>
      </c>
      <c r="F117" s="2">
        <v>1.0201E-2</v>
      </c>
      <c r="G117" s="2">
        <v>-6.8010000000000006E-3</v>
      </c>
    </row>
    <row r="118" spans="1:7" x14ac:dyDescent="0.3">
      <c r="A118">
        <v>1405</v>
      </c>
      <c r="B118" t="s">
        <v>123</v>
      </c>
      <c r="C118" s="2"/>
      <c r="D118" s="2"/>
      <c r="E118" s="2">
        <v>7.1000000000000002E-4</v>
      </c>
      <c r="F118" s="2"/>
      <c r="G118" s="2"/>
    </row>
    <row r="119" spans="1:7" x14ac:dyDescent="0.3">
      <c r="A119">
        <v>1439</v>
      </c>
      <c r="B119" t="s">
        <v>124</v>
      </c>
      <c r="C119" s="2">
        <v>0.13142200000000001</v>
      </c>
      <c r="D119" s="2">
        <v>-0.41764800000000002</v>
      </c>
      <c r="E119" s="2">
        <v>-0.22118299999999999</v>
      </c>
      <c r="F119" s="2">
        <v>0.54907000000000006</v>
      </c>
      <c r="G119" s="2">
        <v>0.352605</v>
      </c>
    </row>
    <row r="120" spans="1:7" x14ac:dyDescent="0.3">
      <c r="A120">
        <v>1455</v>
      </c>
      <c r="B120" t="s">
        <v>125</v>
      </c>
      <c r="C120" s="2">
        <v>-1.6226999999999998E-2</v>
      </c>
      <c r="D120" s="2">
        <v>-2.4650000000000002E-3</v>
      </c>
      <c r="E120" s="2">
        <v>-1.011E-3</v>
      </c>
      <c r="F120" s="2">
        <v>-1.3762E-2</v>
      </c>
      <c r="G120" s="2">
        <v>-1.5216E-2</v>
      </c>
    </row>
    <row r="121" spans="1:7" x14ac:dyDescent="0.3">
      <c r="A121">
        <v>1460</v>
      </c>
      <c r="B121" t="s">
        <v>126</v>
      </c>
      <c r="C121" s="2">
        <v>0.35743399999999997</v>
      </c>
      <c r="D121" s="2">
        <v>-1.0806800000000001</v>
      </c>
      <c r="E121" s="2">
        <v>-3.705025</v>
      </c>
      <c r="F121" s="2">
        <v>1.4381139999999999</v>
      </c>
      <c r="G121" s="2">
        <v>4.0624589999999996</v>
      </c>
    </row>
    <row r="122" spans="1:7" x14ac:dyDescent="0.3">
      <c r="A122">
        <v>1470</v>
      </c>
      <c r="B122" t="s">
        <v>127</v>
      </c>
      <c r="C122" s="2"/>
      <c r="D122" s="2"/>
      <c r="E122" s="2"/>
      <c r="F122" s="2"/>
      <c r="G122" s="2"/>
    </row>
    <row r="123" spans="1:7" x14ac:dyDescent="0.3">
      <c r="A123">
        <v>1478</v>
      </c>
      <c r="B123" t="s">
        <v>128</v>
      </c>
      <c r="C123" s="2">
        <v>-3.16E-3</v>
      </c>
      <c r="D123" s="2">
        <v>-2.1810000000000002E-3</v>
      </c>
      <c r="E123" s="2">
        <v>-5.522E-3</v>
      </c>
      <c r="F123" s="2">
        <v>-9.7899999999999984E-4</v>
      </c>
      <c r="G123" s="2">
        <v>2.362E-3</v>
      </c>
    </row>
    <row r="124" spans="1:7" x14ac:dyDescent="0.3">
      <c r="A124">
        <v>1481</v>
      </c>
      <c r="B124" t="s">
        <v>129</v>
      </c>
      <c r="C124" s="2">
        <v>101.91578800000001</v>
      </c>
      <c r="D124" s="2">
        <v>103.566639</v>
      </c>
      <c r="E124" s="2">
        <v>45.125692000000001</v>
      </c>
      <c r="F124" s="2">
        <v>-1.650850999999989</v>
      </c>
      <c r="G124" s="2">
        <v>56.790096000000013</v>
      </c>
    </row>
    <row r="125" spans="1:7" x14ac:dyDescent="0.3">
      <c r="A125">
        <v>1557</v>
      </c>
      <c r="B125" t="s">
        <v>130</v>
      </c>
      <c r="C125" s="2">
        <v>-0.304589</v>
      </c>
      <c r="D125" s="2">
        <v>-0.20269000000000001</v>
      </c>
      <c r="E125" s="2">
        <v>-1.4363000000000001E-2</v>
      </c>
      <c r="F125" s="2">
        <v>-0.101899</v>
      </c>
      <c r="G125" s="2">
        <v>-0.29022599999999998</v>
      </c>
    </row>
    <row r="126" spans="1:7" x14ac:dyDescent="0.3">
      <c r="A126">
        <v>1573</v>
      </c>
      <c r="B126" t="s">
        <v>131</v>
      </c>
      <c r="C126" s="2">
        <v>4.7928999999999999E-2</v>
      </c>
      <c r="D126" s="2">
        <v>3.1752000000000002E-2</v>
      </c>
      <c r="E126" s="2">
        <v>1.2163999999999999E-2</v>
      </c>
      <c r="F126" s="2">
        <v>1.6177E-2</v>
      </c>
      <c r="G126" s="2">
        <v>3.5764999999999998E-2</v>
      </c>
    </row>
    <row r="127" spans="1:7" x14ac:dyDescent="0.3">
      <c r="A127">
        <v>1614</v>
      </c>
      <c r="B127" t="s">
        <v>132</v>
      </c>
      <c r="C127" s="2"/>
      <c r="D127" s="2">
        <v>6.7599999999999995E-4</v>
      </c>
      <c r="E127" s="2">
        <v>-2.1429E-2</v>
      </c>
      <c r="F127" s="2"/>
      <c r="G127" s="2"/>
    </row>
    <row r="128" spans="1:7" x14ac:dyDescent="0.3">
      <c r="A128">
        <v>1637</v>
      </c>
      <c r="B128" t="s">
        <v>133</v>
      </c>
      <c r="C128" s="2">
        <v>0.137901</v>
      </c>
      <c r="D128" s="2">
        <v>0.103674</v>
      </c>
      <c r="E128" s="2">
        <v>0.12958900000000001</v>
      </c>
      <c r="F128" s="2">
        <v>3.4226999999999987E-2</v>
      </c>
      <c r="G128" s="2">
        <v>8.3119999999999861E-3</v>
      </c>
    </row>
    <row r="129" spans="1:7" x14ac:dyDescent="0.3">
      <c r="A129">
        <v>1659</v>
      </c>
      <c r="B129" t="s">
        <v>134</v>
      </c>
      <c r="C129" s="2">
        <v>-1.0751999999999999E-2</v>
      </c>
      <c r="D129" s="2">
        <v>-4.8799999999999998E-3</v>
      </c>
      <c r="E129" s="2">
        <v>2.5919000000000001E-2</v>
      </c>
      <c r="F129" s="2">
        <v>-5.8719999999999996E-3</v>
      </c>
      <c r="G129" s="2">
        <v>-3.6671000000000002E-2</v>
      </c>
    </row>
    <row r="130" spans="1:7" x14ac:dyDescent="0.3">
      <c r="A130">
        <v>1673</v>
      </c>
      <c r="B130" t="s">
        <v>135</v>
      </c>
      <c r="C130" s="2"/>
      <c r="D130" s="2"/>
      <c r="E130" s="2">
        <v>-5.0743999999999997E-2</v>
      </c>
      <c r="F130" s="2"/>
      <c r="G130" s="2"/>
    </row>
    <row r="131" spans="1:7" x14ac:dyDescent="0.3">
      <c r="A131">
        <v>1680</v>
      </c>
      <c r="B131" t="s">
        <v>136</v>
      </c>
      <c r="C131" s="2">
        <v>1.8332000000000001E-2</v>
      </c>
      <c r="D131" s="2">
        <v>3.0370000000000001E-2</v>
      </c>
      <c r="E131" s="2">
        <v>0.12349300000000001</v>
      </c>
      <c r="F131" s="2">
        <v>-1.2038E-2</v>
      </c>
      <c r="G131" s="2">
        <v>-0.105161</v>
      </c>
    </row>
    <row r="132" spans="1:7" x14ac:dyDescent="0.3">
      <c r="A132">
        <v>1720</v>
      </c>
      <c r="B132" t="s">
        <v>137</v>
      </c>
      <c r="C132" s="2">
        <v>1.7132999999999999E-2</v>
      </c>
      <c r="D132" s="2">
        <v>1.9620000000000002E-3</v>
      </c>
      <c r="E132" s="2">
        <v>8.8880000000000001E-3</v>
      </c>
      <c r="F132" s="2">
        <v>1.5171E-2</v>
      </c>
      <c r="G132" s="2">
        <v>8.2449999999999989E-3</v>
      </c>
    </row>
    <row r="133" spans="1:7" x14ac:dyDescent="0.3">
      <c r="A133">
        <v>1732</v>
      </c>
      <c r="B133" t="s">
        <v>138</v>
      </c>
      <c r="C133" s="2">
        <v>-1.4602E-2</v>
      </c>
      <c r="D133" s="2">
        <v>-1.5481E-2</v>
      </c>
      <c r="E133" s="2">
        <v>-4.7529000000000002E-2</v>
      </c>
      <c r="F133" s="2">
        <v>8.7899999999999957E-4</v>
      </c>
      <c r="G133" s="2">
        <v>3.2926999999999998E-2</v>
      </c>
    </row>
    <row r="134" spans="1:7" x14ac:dyDescent="0.3">
      <c r="A134">
        <v>1745</v>
      </c>
      <c r="B134" t="s">
        <v>139</v>
      </c>
      <c r="C134" s="2">
        <v>0.19469500000000001</v>
      </c>
      <c r="D134" s="2">
        <v>0.15914300000000001</v>
      </c>
      <c r="E134" s="2">
        <v>-2.8655E-2</v>
      </c>
      <c r="F134" s="2">
        <v>3.5552E-2</v>
      </c>
      <c r="G134" s="2">
        <v>0.22334999999999999</v>
      </c>
    </row>
    <row r="135" spans="1:7" x14ac:dyDescent="0.3">
      <c r="A135">
        <v>1747</v>
      </c>
      <c r="B135" t="s">
        <v>140</v>
      </c>
      <c r="C135" s="2">
        <v>1.1199999999999999E-3</v>
      </c>
      <c r="D135" s="2">
        <v>1.418E-3</v>
      </c>
      <c r="E135" s="2">
        <v>2.4899999999999998E-4</v>
      </c>
      <c r="F135" s="2">
        <v>-2.9800000000000009E-4</v>
      </c>
      <c r="G135" s="2">
        <v>8.7099999999999992E-4</v>
      </c>
    </row>
    <row r="136" spans="1:7" x14ac:dyDescent="0.3">
      <c r="A136">
        <v>1751</v>
      </c>
      <c r="B136" t="s">
        <v>141</v>
      </c>
      <c r="C136" s="2">
        <v>0.152341</v>
      </c>
      <c r="D136" s="2">
        <v>0.75517299999999998</v>
      </c>
      <c r="E136" s="2">
        <v>-3.6807820000000002</v>
      </c>
      <c r="F136" s="2">
        <v>-0.60283200000000003</v>
      </c>
      <c r="G136" s="2">
        <v>3.8331230000000001</v>
      </c>
    </row>
    <row r="137" spans="1:7" x14ac:dyDescent="0.3">
      <c r="A137">
        <v>1752</v>
      </c>
      <c r="B137" t="s">
        <v>142</v>
      </c>
      <c r="C137" s="2">
        <v>1.9820999999999998E-2</v>
      </c>
      <c r="D137" s="2">
        <v>-5.2807E-2</v>
      </c>
      <c r="E137" s="2">
        <v>-1.6490000000000001E-3</v>
      </c>
      <c r="F137" s="2">
        <v>7.2627999999999998E-2</v>
      </c>
      <c r="G137" s="2">
        <v>2.147E-2</v>
      </c>
    </row>
    <row r="138" spans="1:7" x14ac:dyDescent="0.3">
      <c r="A138">
        <v>1765</v>
      </c>
      <c r="B138" t="s">
        <v>143</v>
      </c>
      <c r="C138" s="2">
        <v>6.8199999999999999E-4</v>
      </c>
      <c r="D138" s="2">
        <v>2.1610000000000002E-3</v>
      </c>
      <c r="E138" s="2">
        <v>2.1940000000000002E-3</v>
      </c>
      <c r="F138" s="2">
        <v>-1.4790000000000001E-3</v>
      </c>
      <c r="G138" s="2">
        <v>-1.5120000000000001E-3</v>
      </c>
    </row>
    <row r="139" spans="1:7" x14ac:dyDescent="0.3">
      <c r="A139">
        <v>1781</v>
      </c>
      <c r="B139" t="s">
        <v>144</v>
      </c>
      <c r="C139" s="2">
        <v>4.5120000000000004E-3</v>
      </c>
      <c r="D139" s="2">
        <v>3.8449999999999999E-3</v>
      </c>
      <c r="E139" s="2">
        <v>-3.0669999999999998E-3</v>
      </c>
      <c r="F139" s="2">
        <v>6.6700000000000049E-4</v>
      </c>
      <c r="G139" s="2">
        <v>7.5790000000000007E-3</v>
      </c>
    </row>
    <row r="140" spans="1:7" x14ac:dyDescent="0.3">
      <c r="A140">
        <v>1788</v>
      </c>
      <c r="B140" t="s">
        <v>145</v>
      </c>
      <c r="C140" s="2">
        <v>-1.3602E-2</v>
      </c>
      <c r="D140" s="2">
        <v>1.044E-3</v>
      </c>
      <c r="E140" s="2">
        <v>-1.34E-4</v>
      </c>
      <c r="F140" s="2">
        <v>-1.4645999999999999E-2</v>
      </c>
      <c r="G140" s="2">
        <v>-1.3468000000000001E-2</v>
      </c>
    </row>
    <row r="141" spans="1:7" x14ac:dyDescent="0.3">
      <c r="A141">
        <v>1792</v>
      </c>
      <c r="B141" t="s">
        <v>146</v>
      </c>
      <c r="C141" s="2"/>
      <c r="D141" s="2"/>
      <c r="E141" s="2">
        <v>-0.27238400000000001</v>
      </c>
      <c r="F141" s="2"/>
      <c r="G141" s="2"/>
    </row>
    <row r="142" spans="1:7" x14ac:dyDescent="0.3">
      <c r="A142">
        <v>1809</v>
      </c>
      <c r="B142" t="s">
        <v>147</v>
      </c>
      <c r="C142" s="2">
        <v>7.4819999999999999E-3</v>
      </c>
      <c r="D142" s="2">
        <v>1.3681E-2</v>
      </c>
      <c r="E142" s="2">
        <v>-3.79E-4</v>
      </c>
      <c r="F142" s="2">
        <v>-6.1990000000000014E-3</v>
      </c>
      <c r="G142" s="2">
        <v>7.8609999999999999E-3</v>
      </c>
    </row>
    <row r="143" spans="1:7" x14ac:dyDescent="0.3">
      <c r="A143">
        <v>1810</v>
      </c>
      <c r="B143" t="s">
        <v>148</v>
      </c>
      <c r="C143" s="2">
        <v>0.11448700000000001</v>
      </c>
      <c r="D143" s="2">
        <v>0.21686800000000001</v>
      </c>
      <c r="E143" s="2">
        <v>4.9159000000000001E-2</v>
      </c>
      <c r="F143" s="2">
        <v>-0.102381</v>
      </c>
      <c r="G143" s="2">
        <v>6.5327999999999997E-2</v>
      </c>
    </row>
    <row r="144" spans="1:7" x14ac:dyDescent="0.3">
      <c r="A144">
        <v>1818</v>
      </c>
      <c r="B144" t="s">
        <v>149</v>
      </c>
      <c r="C144" s="2">
        <v>-1.5900000000000001E-3</v>
      </c>
      <c r="D144" s="2">
        <v>3.9399999999999998E-4</v>
      </c>
      <c r="E144" s="2">
        <v>-1.7210000000000001E-3</v>
      </c>
      <c r="F144" s="2">
        <v>-1.9840000000000001E-3</v>
      </c>
      <c r="G144" s="2">
        <v>1.3100000000000001E-4</v>
      </c>
    </row>
    <row r="145" spans="1:7" x14ac:dyDescent="0.3">
      <c r="A145">
        <v>1829</v>
      </c>
      <c r="B145" t="s">
        <v>150</v>
      </c>
      <c r="C145" s="2">
        <v>-1.8473E-2</v>
      </c>
      <c r="D145" s="2">
        <v>2.4191000000000001E-2</v>
      </c>
      <c r="E145" s="2">
        <v>-8.0427999999999999E-2</v>
      </c>
      <c r="F145" s="2">
        <v>-4.2664000000000001E-2</v>
      </c>
      <c r="G145" s="2">
        <v>6.1955000000000003E-2</v>
      </c>
    </row>
    <row r="146" spans="1:7" x14ac:dyDescent="0.3">
      <c r="A146">
        <v>1885</v>
      </c>
      <c r="B146" t="s">
        <v>151</v>
      </c>
      <c r="C146" s="2">
        <v>0.149031</v>
      </c>
      <c r="D146" s="2">
        <v>0.22556899999999999</v>
      </c>
      <c r="E146" s="2">
        <v>4.6429999999999999E-2</v>
      </c>
      <c r="F146" s="2">
        <v>-7.6537999999999995E-2</v>
      </c>
      <c r="G146" s="2">
        <v>0.102601</v>
      </c>
    </row>
    <row r="147" spans="1:7" x14ac:dyDescent="0.3">
      <c r="A147">
        <v>1896</v>
      </c>
      <c r="B147" t="s">
        <v>152</v>
      </c>
      <c r="C147" s="2">
        <v>1.626E-2</v>
      </c>
      <c r="D147" s="2">
        <v>7.5799999999999999E-3</v>
      </c>
      <c r="E147" s="2">
        <v>-4.9953999999999998E-2</v>
      </c>
      <c r="F147" s="2">
        <v>8.6800000000000002E-3</v>
      </c>
      <c r="G147" s="2">
        <v>6.6213999999999995E-2</v>
      </c>
    </row>
    <row r="148" spans="1:7" x14ac:dyDescent="0.3">
      <c r="A148">
        <v>1902</v>
      </c>
      <c r="B148" t="s">
        <v>153</v>
      </c>
      <c r="C148" s="2"/>
      <c r="D148" s="2">
        <v>-8.8400000000000006E-3</v>
      </c>
      <c r="E148" s="2">
        <v>4.1720000000000004E-3</v>
      </c>
      <c r="F148" s="2"/>
      <c r="G148" s="2"/>
    </row>
    <row r="149" spans="1:7" x14ac:dyDescent="0.3">
      <c r="A149">
        <v>1920</v>
      </c>
      <c r="B149" t="s">
        <v>154</v>
      </c>
      <c r="C149" s="2">
        <v>5.1409999999999997E-3</v>
      </c>
      <c r="D149" s="2">
        <v>2.351E-2</v>
      </c>
      <c r="E149" s="2">
        <v>-7.9592999999999997E-2</v>
      </c>
      <c r="F149" s="2">
        <v>-1.8369E-2</v>
      </c>
      <c r="G149" s="2">
        <v>8.4734000000000004E-2</v>
      </c>
    </row>
    <row r="150" spans="1:7" x14ac:dyDescent="0.3">
      <c r="A150">
        <v>1926</v>
      </c>
      <c r="B150" t="s">
        <v>155</v>
      </c>
      <c r="C150" s="2"/>
      <c r="D150" s="2"/>
      <c r="E150" s="2">
        <v>1.797E-3</v>
      </c>
      <c r="F150" s="2"/>
      <c r="G150" s="2"/>
    </row>
    <row r="151" spans="1:7" x14ac:dyDescent="0.3">
      <c r="A151">
        <v>1927</v>
      </c>
      <c r="B151" t="s">
        <v>156</v>
      </c>
      <c r="C151" s="2">
        <v>8.3226999999999995E-2</v>
      </c>
      <c r="D151" s="2">
        <v>0.140543</v>
      </c>
      <c r="E151" s="2">
        <v>-4.9429000000000001E-2</v>
      </c>
      <c r="F151" s="2">
        <v>-5.7316000000000013E-2</v>
      </c>
      <c r="G151" s="2">
        <v>0.132656</v>
      </c>
    </row>
    <row r="152" spans="1:7" x14ac:dyDescent="0.3">
      <c r="A152">
        <v>1948</v>
      </c>
      <c r="B152" t="s">
        <v>157</v>
      </c>
      <c r="C152" s="2">
        <v>1.5E-3</v>
      </c>
      <c r="D152" s="2">
        <v>4.28E-4</v>
      </c>
      <c r="E152" s="2">
        <v>7.1500000000000003E-4</v>
      </c>
      <c r="F152" s="2">
        <v>1.072E-3</v>
      </c>
      <c r="G152" s="2">
        <v>7.85E-4</v>
      </c>
    </row>
    <row r="153" spans="1:7" x14ac:dyDescent="0.3">
      <c r="A153">
        <v>1949</v>
      </c>
      <c r="B153" t="s">
        <v>158</v>
      </c>
      <c r="C153" s="2">
        <v>9.1299999999999997E-4</v>
      </c>
      <c r="D153" s="2">
        <v>3.3800000000000002E-3</v>
      </c>
      <c r="E153" s="2">
        <v>-1.57E-3</v>
      </c>
      <c r="F153" s="2">
        <v>-2.467E-3</v>
      </c>
      <c r="G153" s="2">
        <v>2.483E-3</v>
      </c>
    </row>
    <row r="154" spans="1:7" x14ac:dyDescent="0.3">
      <c r="A154">
        <v>1966</v>
      </c>
      <c r="B154" t="s">
        <v>159</v>
      </c>
      <c r="C154" s="2">
        <v>4.0163999999999998E-2</v>
      </c>
      <c r="D154" s="2">
        <v>7.2178999999999993E-2</v>
      </c>
      <c r="E154" s="2">
        <v>4.7551999999999997E-2</v>
      </c>
      <c r="F154" s="2">
        <v>-3.2014999999999988E-2</v>
      </c>
      <c r="G154" s="2">
        <v>-7.3879999999999987E-3</v>
      </c>
    </row>
    <row r="155" spans="1:7" x14ac:dyDescent="0.3">
      <c r="A155">
        <v>1973</v>
      </c>
      <c r="B155" t="s">
        <v>160</v>
      </c>
      <c r="C155" s="2">
        <v>5.2769999999999996E-3</v>
      </c>
      <c r="D155" s="2">
        <v>3.4329999999999999E-3</v>
      </c>
      <c r="E155" s="2">
        <v>3.32E-3</v>
      </c>
      <c r="F155" s="2">
        <v>1.8439999999999999E-3</v>
      </c>
      <c r="G155" s="2">
        <v>1.957E-3</v>
      </c>
    </row>
    <row r="156" spans="1:7" x14ac:dyDescent="0.3">
      <c r="A156">
        <v>1978</v>
      </c>
      <c r="B156" t="s">
        <v>161</v>
      </c>
      <c r="C156" s="2">
        <v>1.313901</v>
      </c>
      <c r="D156" s="2">
        <v>2.686264</v>
      </c>
      <c r="E156" s="2">
        <v>-8.8345129999999994</v>
      </c>
      <c r="F156" s="2">
        <v>-1.372363</v>
      </c>
      <c r="G156" s="2">
        <v>10.148414000000001</v>
      </c>
    </row>
    <row r="157" spans="1:7" x14ac:dyDescent="0.3">
      <c r="A157">
        <v>2015</v>
      </c>
      <c r="B157" t="s">
        <v>162</v>
      </c>
      <c r="C157" s="2">
        <v>5.3920000000000001E-3</v>
      </c>
      <c r="D157" s="2">
        <v>2.2230000000000001E-3</v>
      </c>
      <c r="E157" s="2">
        <v>7.979E-3</v>
      </c>
      <c r="F157" s="2">
        <v>3.1689999999999999E-3</v>
      </c>
      <c r="G157" s="2">
        <v>-2.5869999999999999E-3</v>
      </c>
    </row>
    <row r="158" spans="1:7" x14ac:dyDescent="0.3">
      <c r="A158">
        <v>2027</v>
      </c>
      <c r="B158" t="s">
        <v>163</v>
      </c>
      <c r="C158" s="2"/>
      <c r="D158" s="2"/>
      <c r="E158" s="2">
        <v>4.1999999999999998E-5</v>
      </c>
      <c r="F158" s="2"/>
      <c r="G158" s="2"/>
    </row>
    <row r="159" spans="1:7" x14ac:dyDescent="0.3">
      <c r="A159">
        <v>2034</v>
      </c>
      <c r="B159" t="s">
        <v>164</v>
      </c>
      <c r="C159" s="2">
        <v>-1.586E-3</v>
      </c>
      <c r="D159" s="2">
        <v>-2.091E-3</v>
      </c>
      <c r="E159" s="2">
        <v>-3.1319999999999998E-3</v>
      </c>
      <c r="F159" s="2">
        <v>5.0500000000000002E-4</v>
      </c>
      <c r="G159" s="2">
        <v>1.5460000000000001E-3</v>
      </c>
    </row>
    <row r="160" spans="1:7" x14ac:dyDescent="0.3">
      <c r="A160">
        <v>2048</v>
      </c>
      <c r="B160" t="s">
        <v>165</v>
      </c>
      <c r="C160" s="2">
        <v>1.088E-3</v>
      </c>
      <c r="D160" s="2">
        <v>5.8508999999999999E-2</v>
      </c>
      <c r="E160" s="2">
        <v>-4.5100000000000001E-4</v>
      </c>
      <c r="F160" s="2">
        <v>-5.7421E-2</v>
      </c>
      <c r="G160" s="2">
        <v>1.539E-3</v>
      </c>
    </row>
    <row r="161" spans="1:7" x14ac:dyDescent="0.3">
      <c r="A161">
        <v>2053</v>
      </c>
      <c r="B161" t="s">
        <v>166</v>
      </c>
      <c r="C161" s="2"/>
      <c r="D161" s="2"/>
      <c r="E161" s="2"/>
      <c r="F161" s="2"/>
      <c r="G161" s="2"/>
    </row>
    <row r="162" spans="1:7" x14ac:dyDescent="0.3">
      <c r="A162">
        <v>2063</v>
      </c>
      <c r="B162" t="s">
        <v>167</v>
      </c>
      <c r="C162" s="2"/>
      <c r="D162" s="2"/>
      <c r="E162" s="2">
        <v>-3.44E-2</v>
      </c>
      <c r="F162" s="2"/>
      <c r="G162" s="2"/>
    </row>
    <row r="163" spans="1:7" x14ac:dyDescent="0.3">
      <c r="A163">
        <v>2065</v>
      </c>
      <c r="B163" t="s">
        <v>168</v>
      </c>
      <c r="C163" s="2">
        <v>2.2800000000000001E-4</v>
      </c>
      <c r="D163" s="2">
        <v>-7.3499999999999998E-4</v>
      </c>
      <c r="E163" s="2">
        <v>7.3930000000000003E-3</v>
      </c>
      <c r="F163" s="2">
        <v>9.6299999999999999E-4</v>
      </c>
      <c r="G163" s="2">
        <v>-7.1650000000000004E-3</v>
      </c>
    </row>
    <row r="164" spans="1:7" x14ac:dyDescent="0.3">
      <c r="A164">
        <v>2070</v>
      </c>
      <c r="B164" t="s">
        <v>169</v>
      </c>
      <c r="C164" s="2">
        <v>4.9109999999999996E-3</v>
      </c>
      <c r="D164" s="2">
        <v>-3.581E-3</v>
      </c>
      <c r="E164" s="2">
        <v>4.1650000000000003E-3</v>
      </c>
      <c r="F164" s="2">
        <v>8.4919999999999995E-3</v>
      </c>
      <c r="G164" s="2">
        <v>7.4599999999999927E-4</v>
      </c>
    </row>
    <row r="165" spans="1:7" x14ac:dyDescent="0.3">
      <c r="A165">
        <v>2085</v>
      </c>
      <c r="B165" t="s">
        <v>170</v>
      </c>
      <c r="C165" s="2">
        <v>1.3297E-2</v>
      </c>
      <c r="D165" s="2">
        <v>-1.1226E-2</v>
      </c>
      <c r="E165" s="2">
        <v>1.6119999999999999E-3</v>
      </c>
      <c r="F165" s="2">
        <v>2.4523E-2</v>
      </c>
      <c r="G165" s="2">
        <v>1.1684999999999999E-2</v>
      </c>
    </row>
    <row r="166" spans="1:7" x14ac:dyDescent="0.3">
      <c r="A166">
        <v>2103</v>
      </c>
      <c r="B166" t="s">
        <v>171</v>
      </c>
      <c r="C166" s="2">
        <v>-1.7579000000000001E-2</v>
      </c>
      <c r="D166" s="2">
        <v>1.9012999999999999E-2</v>
      </c>
      <c r="E166" s="2">
        <v>7.0014000000000007E-2</v>
      </c>
      <c r="F166" s="2">
        <v>-3.6592E-2</v>
      </c>
      <c r="G166" s="2">
        <v>-8.7593000000000004E-2</v>
      </c>
    </row>
    <row r="167" spans="1:7" x14ac:dyDescent="0.3">
      <c r="A167">
        <v>2110</v>
      </c>
      <c r="B167" t="s">
        <v>172</v>
      </c>
      <c r="C167" s="2">
        <v>4.9255370000000003</v>
      </c>
      <c r="D167" s="2">
        <v>0.33688499999999999</v>
      </c>
      <c r="E167" s="2">
        <v>0.110608</v>
      </c>
      <c r="F167" s="2">
        <v>4.5886520000000006</v>
      </c>
      <c r="G167" s="2">
        <v>4.8149290000000002</v>
      </c>
    </row>
    <row r="168" spans="1:7" x14ac:dyDescent="0.3">
      <c r="A168">
        <v>2119</v>
      </c>
      <c r="B168" t="s">
        <v>173</v>
      </c>
      <c r="C168" s="2">
        <v>-0.17275299999999999</v>
      </c>
      <c r="D168" s="2">
        <v>-6.6873000000000002E-2</v>
      </c>
      <c r="E168" s="2">
        <v>-0.104061</v>
      </c>
      <c r="F168" s="2">
        <v>-0.10588</v>
      </c>
      <c r="G168" s="2">
        <v>-6.8691999999999989E-2</v>
      </c>
    </row>
    <row r="169" spans="1:7" x14ac:dyDescent="0.3">
      <c r="A169">
        <v>2152</v>
      </c>
      <c r="B169" t="s">
        <v>174</v>
      </c>
      <c r="C169" s="2">
        <v>-4.3569999999999998E-3</v>
      </c>
      <c r="D169" s="2">
        <v>-2.2139999999999998E-3</v>
      </c>
      <c r="E169" s="2">
        <v>-1.3833E-2</v>
      </c>
      <c r="F169" s="2">
        <v>-2.1429999999999999E-3</v>
      </c>
      <c r="G169" s="2">
        <v>9.476E-3</v>
      </c>
    </row>
    <row r="170" spans="1:7" x14ac:dyDescent="0.3">
      <c r="A170">
        <v>2156</v>
      </c>
      <c r="B170" t="s">
        <v>175</v>
      </c>
      <c r="C170" s="2"/>
      <c r="D170" s="2"/>
      <c r="E170" s="2">
        <v>3.0459E-2</v>
      </c>
      <c r="F170" s="2"/>
      <c r="G170" s="2"/>
    </row>
    <row r="171" spans="1:7" x14ac:dyDescent="0.3">
      <c r="A171">
        <v>2168</v>
      </c>
      <c r="B171" t="s">
        <v>176</v>
      </c>
      <c r="C171" s="2">
        <v>0.41293400000000002</v>
      </c>
      <c r="D171" s="2">
        <v>-0.22687099999999999</v>
      </c>
      <c r="E171" s="2">
        <v>-0.27079500000000001</v>
      </c>
      <c r="F171" s="2">
        <v>0.63980499999999996</v>
      </c>
      <c r="G171" s="2">
        <v>0.68372900000000003</v>
      </c>
    </row>
    <row r="172" spans="1:7" x14ac:dyDescent="0.3">
      <c r="A172">
        <v>2170</v>
      </c>
      <c r="B172" t="s">
        <v>177</v>
      </c>
      <c r="C172" s="2">
        <v>-2.9533E-2</v>
      </c>
      <c r="D172" s="2">
        <v>-7.4440999999999993E-2</v>
      </c>
      <c r="E172" s="2">
        <v>-8.3912E-2</v>
      </c>
      <c r="F172" s="2">
        <v>4.490799999999999E-2</v>
      </c>
      <c r="G172" s="2">
        <v>5.4378999999999997E-2</v>
      </c>
    </row>
    <row r="173" spans="1:7" x14ac:dyDescent="0.3">
      <c r="A173">
        <v>2208</v>
      </c>
      <c r="B173" t="s">
        <v>178</v>
      </c>
      <c r="C173" s="2">
        <v>-0.18987899999999999</v>
      </c>
      <c r="D173" s="2">
        <v>-7.4125999999999997E-2</v>
      </c>
      <c r="E173" s="2">
        <v>0.105626</v>
      </c>
      <c r="F173" s="2">
        <v>-0.11575299999999999</v>
      </c>
      <c r="G173" s="2">
        <v>-0.29550500000000002</v>
      </c>
    </row>
    <row r="174" spans="1:7" x14ac:dyDescent="0.3">
      <c r="A174">
        <v>2209</v>
      </c>
      <c r="B174" t="s">
        <v>179</v>
      </c>
      <c r="C174" s="2">
        <v>10.160439999999999</v>
      </c>
      <c r="D174" s="2">
        <v>8.6252779999999998</v>
      </c>
      <c r="E174" s="2">
        <v>10.821671</v>
      </c>
      <c r="F174" s="2">
        <v>1.5351619999999999</v>
      </c>
      <c r="G174" s="2">
        <v>-0.66123100000000079</v>
      </c>
    </row>
    <row r="175" spans="1:7" x14ac:dyDescent="0.3">
      <c r="A175">
        <v>2210</v>
      </c>
      <c r="B175" t="s">
        <v>180</v>
      </c>
      <c r="C175" s="2">
        <v>0.219829</v>
      </c>
      <c r="D175" s="2">
        <v>-0.13004099999999999</v>
      </c>
      <c r="E175" s="2">
        <v>-1.051879</v>
      </c>
      <c r="F175" s="2">
        <v>0.34987000000000001</v>
      </c>
      <c r="G175" s="2">
        <v>1.2717080000000001</v>
      </c>
    </row>
    <row r="176" spans="1:7" x14ac:dyDescent="0.3">
      <c r="A176">
        <v>2216</v>
      </c>
      <c r="B176" t="s">
        <v>181</v>
      </c>
      <c r="C176" s="2">
        <v>1.5962E-2</v>
      </c>
      <c r="D176" s="2">
        <v>-1.4617E-2</v>
      </c>
      <c r="E176" s="2">
        <v>-3.5256999999999997E-2</v>
      </c>
      <c r="F176" s="2">
        <v>3.0578999999999999E-2</v>
      </c>
      <c r="G176" s="2">
        <v>5.1219000000000001E-2</v>
      </c>
    </row>
    <row r="177" spans="1:7" x14ac:dyDescent="0.3">
      <c r="A177">
        <v>2225</v>
      </c>
      <c r="B177" t="s">
        <v>182</v>
      </c>
      <c r="C177" s="2">
        <v>1.1067E-2</v>
      </c>
      <c r="D177" s="2">
        <v>0.21240600000000001</v>
      </c>
      <c r="E177" s="2">
        <v>0.11844</v>
      </c>
      <c r="F177" s="2">
        <v>-0.20133899999999999</v>
      </c>
      <c r="G177" s="2">
        <v>-0.107373</v>
      </c>
    </row>
    <row r="178" spans="1:7" x14ac:dyDescent="0.3">
      <c r="A178">
        <v>2241</v>
      </c>
      <c r="B178" t="s">
        <v>183</v>
      </c>
      <c r="C178" s="2">
        <v>0.92821299999999995</v>
      </c>
      <c r="D178" s="2">
        <v>0.98178900000000002</v>
      </c>
      <c r="E178" s="2">
        <v>0.34454699999999999</v>
      </c>
      <c r="F178" s="2">
        <v>-5.3576000000000068E-2</v>
      </c>
      <c r="G178" s="2">
        <v>0.58366600000000002</v>
      </c>
    </row>
    <row r="179" spans="1:7" x14ac:dyDescent="0.3">
      <c r="A179">
        <v>2245</v>
      </c>
      <c r="B179" t="s">
        <v>184</v>
      </c>
      <c r="C179" s="2">
        <v>4.0900000000000002E-4</v>
      </c>
      <c r="D179" s="2">
        <v>1.8029999999999999E-3</v>
      </c>
      <c r="E179" s="2">
        <v>1.766E-3</v>
      </c>
      <c r="F179" s="2">
        <v>-1.3940000000000001E-3</v>
      </c>
      <c r="G179" s="2">
        <v>-1.3569999999999999E-3</v>
      </c>
    </row>
    <row r="180" spans="1:7" x14ac:dyDescent="0.3">
      <c r="A180">
        <v>2249</v>
      </c>
      <c r="B180" t="s">
        <v>185</v>
      </c>
      <c r="C180" s="2"/>
      <c r="D180" s="2"/>
      <c r="E180" s="2">
        <v>-0.12931100000000001</v>
      </c>
      <c r="F180" s="2"/>
      <c r="G180" s="2"/>
    </row>
    <row r="181" spans="1:7" x14ac:dyDescent="0.3">
      <c r="A181">
        <v>2252</v>
      </c>
      <c r="B181" t="s">
        <v>186</v>
      </c>
      <c r="C181" s="2">
        <v>1.8499999999999999E-2</v>
      </c>
      <c r="D181" s="2">
        <v>-9.6400000000000001E-4</v>
      </c>
      <c r="E181" s="2">
        <v>6.3579999999999998E-2</v>
      </c>
      <c r="F181" s="2">
        <v>1.9463999999999999E-2</v>
      </c>
      <c r="G181" s="2">
        <v>-4.5080000000000002E-2</v>
      </c>
    </row>
    <row r="182" spans="1:7" x14ac:dyDescent="0.3">
      <c r="A182">
        <v>2254</v>
      </c>
      <c r="B182" t="s">
        <v>187</v>
      </c>
      <c r="C182" s="2"/>
      <c r="D182" s="2"/>
      <c r="E182" s="2">
        <v>-1.1256E-2</v>
      </c>
      <c r="F182" s="2"/>
      <c r="G182" s="2"/>
    </row>
    <row r="183" spans="1:7" x14ac:dyDescent="0.3">
      <c r="A183">
        <v>2268</v>
      </c>
      <c r="B183" t="s">
        <v>188</v>
      </c>
      <c r="C183" s="2">
        <v>0.66592399999999996</v>
      </c>
      <c r="D183" s="2">
        <v>0.273484</v>
      </c>
      <c r="E183" s="2">
        <v>-0.54872600000000005</v>
      </c>
      <c r="F183" s="2">
        <v>0.39244000000000001</v>
      </c>
      <c r="G183" s="2">
        <v>1.21465</v>
      </c>
    </row>
    <row r="184" spans="1:7" x14ac:dyDescent="0.3">
      <c r="A184">
        <v>2272</v>
      </c>
      <c r="B184" t="s">
        <v>189</v>
      </c>
      <c r="C184" s="2">
        <v>2.5965060000000002</v>
      </c>
      <c r="D184" s="2">
        <v>2.3327499999999999</v>
      </c>
      <c r="E184" s="2">
        <v>-0.58015399999999995</v>
      </c>
      <c r="F184" s="2">
        <v>0.26375600000000032</v>
      </c>
      <c r="G184" s="2">
        <v>3.17666</v>
      </c>
    </row>
    <row r="185" spans="1:7" x14ac:dyDescent="0.3">
      <c r="A185">
        <v>2275</v>
      </c>
      <c r="B185" t="s">
        <v>190</v>
      </c>
      <c r="C185" s="2">
        <v>2.018173</v>
      </c>
      <c r="D185" s="2">
        <v>1.8403959999999999</v>
      </c>
      <c r="E185" s="2">
        <v>0.36678100000000002</v>
      </c>
      <c r="F185" s="2">
        <v>0.1777770000000001</v>
      </c>
      <c r="G185" s="2">
        <v>1.651392</v>
      </c>
    </row>
    <row r="186" spans="1:7" x14ac:dyDescent="0.3">
      <c r="A186">
        <v>2289</v>
      </c>
      <c r="B186" t="s">
        <v>191</v>
      </c>
      <c r="C186" s="2">
        <v>-5.4162509999999999</v>
      </c>
      <c r="D186" s="2">
        <v>2.4582989999999998</v>
      </c>
      <c r="E186" s="2">
        <v>-1.3284309999999999</v>
      </c>
      <c r="F186" s="2">
        <v>-7.8745499999999993</v>
      </c>
      <c r="G186" s="2">
        <v>-4.0878199999999998</v>
      </c>
    </row>
    <row r="187" spans="1:7" x14ac:dyDescent="0.3">
      <c r="A187">
        <v>2304</v>
      </c>
      <c r="B187" t="s">
        <v>192</v>
      </c>
      <c r="C187" s="2">
        <v>0.10245600000000001</v>
      </c>
      <c r="D187" s="2">
        <v>0.35746299999999998</v>
      </c>
      <c r="E187" s="2">
        <v>-0.20156499999999999</v>
      </c>
      <c r="F187" s="2">
        <v>-0.25500699999999998</v>
      </c>
      <c r="G187" s="2">
        <v>0.30402099999999999</v>
      </c>
    </row>
    <row r="188" spans="1:7" x14ac:dyDescent="0.3">
      <c r="A188">
        <v>2306</v>
      </c>
      <c r="B188" t="s">
        <v>193</v>
      </c>
      <c r="C188" s="2">
        <v>0.43546400000000002</v>
      </c>
      <c r="D188" s="2">
        <v>0.18210999999999999</v>
      </c>
      <c r="E188" s="2">
        <v>0.20017599999999999</v>
      </c>
      <c r="F188" s="2">
        <v>0.25335400000000002</v>
      </c>
      <c r="G188" s="2">
        <v>0.235288</v>
      </c>
    </row>
    <row r="189" spans="1:7" x14ac:dyDescent="0.3">
      <c r="A189">
        <v>2307</v>
      </c>
      <c r="B189" t="s">
        <v>194</v>
      </c>
      <c r="C189" s="2">
        <v>0.15005499999999999</v>
      </c>
      <c r="D189" s="2">
        <v>-0.33364899999999997</v>
      </c>
      <c r="E189" s="2">
        <v>-7.4130000000000003E-3</v>
      </c>
      <c r="F189" s="2">
        <v>0.48370400000000002</v>
      </c>
      <c r="G189" s="2">
        <v>0.157468</v>
      </c>
    </row>
    <row r="190" spans="1:7" x14ac:dyDescent="0.3">
      <c r="A190">
        <v>2309</v>
      </c>
      <c r="B190" t="s">
        <v>195</v>
      </c>
      <c r="C190" s="2">
        <v>-3.9291E-2</v>
      </c>
      <c r="D190" s="2">
        <v>6.9597000000000006E-2</v>
      </c>
      <c r="E190" s="2">
        <v>-4.3755000000000002E-2</v>
      </c>
      <c r="F190" s="2">
        <v>-0.108888</v>
      </c>
      <c r="G190" s="2">
        <v>4.4640000000000027E-3</v>
      </c>
    </row>
    <row r="191" spans="1:7" x14ac:dyDescent="0.3">
      <c r="A191">
        <v>2312</v>
      </c>
      <c r="B191" t="s">
        <v>196</v>
      </c>
      <c r="C191" s="2">
        <v>0.23485400000000001</v>
      </c>
      <c r="D191" s="2">
        <v>1.5616639999999999</v>
      </c>
      <c r="E191" s="2">
        <v>0.51435500000000001</v>
      </c>
      <c r="F191" s="2">
        <v>-1.32681</v>
      </c>
      <c r="G191" s="2">
        <v>-0.279501</v>
      </c>
    </row>
    <row r="192" spans="1:7" x14ac:dyDescent="0.3">
      <c r="A192">
        <v>2347</v>
      </c>
      <c r="B192" t="s">
        <v>197</v>
      </c>
      <c r="C192" s="2">
        <v>-7.561E-3</v>
      </c>
      <c r="D192" s="2">
        <v>8.5290000000000001E-3</v>
      </c>
      <c r="E192" s="2">
        <v>-3.1E-4</v>
      </c>
      <c r="F192" s="2">
        <v>-1.609E-2</v>
      </c>
      <c r="G192" s="2">
        <v>-7.2509999999999996E-3</v>
      </c>
    </row>
    <row r="193" spans="1:7" x14ac:dyDescent="0.3">
      <c r="A193">
        <v>2368</v>
      </c>
      <c r="B193" t="s">
        <v>198</v>
      </c>
      <c r="C193" s="2">
        <v>-0.60728400000000005</v>
      </c>
      <c r="D193" s="2">
        <v>-9.8250000000000004E-2</v>
      </c>
      <c r="E193" s="2">
        <v>-6.5649999999999997E-3</v>
      </c>
      <c r="F193" s="2">
        <v>-0.50903399999999999</v>
      </c>
      <c r="G193" s="2">
        <v>-0.600719</v>
      </c>
    </row>
    <row r="194" spans="1:7" x14ac:dyDescent="0.3">
      <c r="A194">
        <v>2374</v>
      </c>
      <c r="B194" t="s">
        <v>199</v>
      </c>
      <c r="C194" s="2">
        <v>1.22E-4</v>
      </c>
      <c r="D194" s="2">
        <v>3.777E-3</v>
      </c>
      <c r="E194" s="2">
        <v>-4.0850000000000001E-3</v>
      </c>
      <c r="F194" s="2">
        <v>-3.6549999999999998E-3</v>
      </c>
      <c r="G194" s="2">
        <v>4.2069999999999998E-3</v>
      </c>
    </row>
    <row r="195" spans="1:7" x14ac:dyDescent="0.3">
      <c r="A195">
        <v>2390</v>
      </c>
      <c r="B195" t="s">
        <v>200</v>
      </c>
      <c r="C195" s="2">
        <v>-1.9622000000000001E-2</v>
      </c>
      <c r="D195" s="2">
        <v>-4.4301E-2</v>
      </c>
      <c r="E195" s="2">
        <v>4.4499999999999997E-4</v>
      </c>
      <c r="F195" s="2">
        <v>2.4679E-2</v>
      </c>
      <c r="G195" s="2">
        <v>-2.0067000000000002E-2</v>
      </c>
    </row>
    <row r="196" spans="1:7" x14ac:dyDescent="0.3">
      <c r="A196">
        <v>2407</v>
      </c>
      <c r="B196" t="s">
        <v>201</v>
      </c>
      <c r="C196" s="2">
        <v>-9.8200000000000002E-4</v>
      </c>
      <c r="D196" s="2">
        <v>3.2200000000000002E-4</v>
      </c>
      <c r="E196" s="2">
        <v>-5.9699999999999998E-4</v>
      </c>
      <c r="F196" s="2">
        <v>-1.304E-3</v>
      </c>
      <c r="G196" s="2">
        <v>-3.8499999999999998E-4</v>
      </c>
    </row>
    <row r="197" spans="1:7" x14ac:dyDescent="0.3">
      <c r="A197">
        <v>2433</v>
      </c>
      <c r="B197" t="s">
        <v>202</v>
      </c>
      <c r="C197" s="2"/>
      <c r="D197" s="2"/>
      <c r="E197" s="2">
        <v>-2.3335999999999999E-2</v>
      </c>
      <c r="F197" s="2"/>
      <c r="G197" s="2"/>
    </row>
    <row r="198" spans="1:7" x14ac:dyDescent="0.3">
      <c r="A198">
        <v>2438</v>
      </c>
      <c r="B198" t="s">
        <v>203</v>
      </c>
      <c r="C198" s="2">
        <v>-1.1124999999999999E-2</v>
      </c>
      <c r="D198" s="2">
        <v>-2.8570000000000002E-3</v>
      </c>
      <c r="E198" s="2">
        <v>-5.7629999999999999E-3</v>
      </c>
      <c r="F198" s="2">
        <v>-8.2679999999999993E-3</v>
      </c>
      <c r="G198" s="2">
        <v>-5.3619999999999996E-3</v>
      </c>
    </row>
    <row r="199" spans="1:7" x14ac:dyDescent="0.3">
      <c r="A199">
        <v>2440</v>
      </c>
      <c r="B199" t="s">
        <v>204</v>
      </c>
      <c r="C199" s="2">
        <v>8.6269999999999993E-3</v>
      </c>
      <c r="D199" s="2">
        <v>-5.5746999999999998E-2</v>
      </c>
      <c r="E199" s="2">
        <v>0.20577000000000001</v>
      </c>
      <c r="F199" s="2">
        <v>6.4374000000000001E-2</v>
      </c>
      <c r="G199" s="2">
        <v>-0.19714300000000001</v>
      </c>
    </row>
    <row r="200" spans="1:7" x14ac:dyDescent="0.3">
      <c r="A200">
        <v>2443</v>
      </c>
      <c r="B200" t="s">
        <v>205</v>
      </c>
      <c r="C200" s="2">
        <v>0.22545899999999999</v>
      </c>
      <c r="D200" s="2">
        <v>-0.40826600000000002</v>
      </c>
      <c r="E200" s="2">
        <v>6.0520000000000001E-3</v>
      </c>
      <c r="F200" s="2">
        <v>0.63372499999999998</v>
      </c>
      <c r="G200" s="2">
        <v>0.21940699999999999</v>
      </c>
    </row>
    <row r="201" spans="1:7" x14ac:dyDescent="0.3">
      <c r="A201">
        <v>2484</v>
      </c>
      <c r="B201" t="s">
        <v>206</v>
      </c>
      <c r="C201" s="2"/>
      <c r="D201" s="2"/>
      <c r="E201" s="2">
        <v>2.2377999999999999E-2</v>
      </c>
      <c r="F201" s="2"/>
      <c r="G201" s="2"/>
    </row>
    <row r="202" spans="1:7" x14ac:dyDescent="0.3">
      <c r="A202">
        <v>2490</v>
      </c>
      <c r="B202" t="s">
        <v>207</v>
      </c>
      <c r="C202" s="2">
        <v>0.18201500000000001</v>
      </c>
      <c r="D202" s="2">
        <v>0.25551400000000002</v>
      </c>
      <c r="E202" s="2">
        <v>0.12018</v>
      </c>
      <c r="F202" s="2">
        <v>-7.3499000000000009E-2</v>
      </c>
      <c r="G202" s="2">
        <v>6.1835000000000008E-2</v>
      </c>
    </row>
    <row r="203" spans="1:7" x14ac:dyDescent="0.3">
      <c r="A203">
        <v>2494</v>
      </c>
      <c r="B203" t="s">
        <v>208</v>
      </c>
      <c r="C203" s="2">
        <v>-1.9449999999999999E-3</v>
      </c>
      <c r="D203" s="2">
        <v>0.213866</v>
      </c>
      <c r="E203" s="2">
        <v>0.213419</v>
      </c>
      <c r="F203" s="2">
        <v>-0.215811</v>
      </c>
      <c r="G203" s="2">
        <v>-0.215364</v>
      </c>
    </row>
    <row r="204" spans="1:7" x14ac:dyDescent="0.3">
      <c r="A204">
        <v>2495</v>
      </c>
      <c r="B204" t="s">
        <v>209</v>
      </c>
      <c r="C204" s="2">
        <v>3.8753999999999997E-2</v>
      </c>
      <c r="D204" s="2">
        <v>1.498E-3</v>
      </c>
      <c r="E204" s="2">
        <v>0.27763199999999999</v>
      </c>
      <c r="F204" s="2">
        <v>3.7255999999999997E-2</v>
      </c>
      <c r="G204" s="2">
        <v>-0.23887800000000001</v>
      </c>
    </row>
    <row r="205" spans="1:7" x14ac:dyDescent="0.3">
      <c r="A205">
        <v>2499</v>
      </c>
      <c r="B205" t="s">
        <v>210</v>
      </c>
      <c r="C205" s="2">
        <v>7.67E-4</v>
      </c>
      <c r="D205" s="2">
        <v>2.771E-3</v>
      </c>
      <c r="E205" s="2">
        <v>-2.5119999999999999E-3</v>
      </c>
      <c r="F205" s="2">
        <v>-2.0040000000000001E-3</v>
      </c>
      <c r="G205" s="2">
        <v>3.2789999999999998E-3</v>
      </c>
    </row>
    <row r="206" spans="1:7" x14ac:dyDescent="0.3">
      <c r="A206">
        <v>2506</v>
      </c>
      <c r="B206" t="s">
        <v>211</v>
      </c>
      <c r="C206" s="2">
        <v>-4.1159999999999999E-3</v>
      </c>
      <c r="D206" s="2">
        <v>-1.9099000000000001E-2</v>
      </c>
      <c r="E206" s="2">
        <v>-6.2038999999999997E-2</v>
      </c>
      <c r="F206" s="2">
        <v>1.4983E-2</v>
      </c>
      <c r="G206" s="2">
        <v>5.7923000000000002E-2</v>
      </c>
    </row>
    <row r="207" spans="1:7" x14ac:dyDescent="0.3">
      <c r="A207">
        <v>2507</v>
      </c>
      <c r="B207" t="s">
        <v>212</v>
      </c>
      <c r="C207" s="2">
        <v>1.1101780000000001</v>
      </c>
      <c r="D207" s="2">
        <v>-0.23414599999999999</v>
      </c>
      <c r="E207" s="2">
        <v>6.9764000000000007E-2</v>
      </c>
      <c r="F207" s="2">
        <v>1.3443240000000001</v>
      </c>
      <c r="G207" s="2">
        <v>1.0404139999999999</v>
      </c>
    </row>
    <row r="208" spans="1:7" x14ac:dyDescent="0.3">
      <c r="A208">
        <v>2518</v>
      </c>
      <c r="B208" t="s">
        <v>213</v>
      </c>
      <c r="C208" s="2">
        <v>1.3219E-2</v>
      </c>
      <c r="D208" s="2">
        <v>0.45364199999999999</v>
      </c>
      <c r="E208" s="2">
        <v>0.311392</v>
      </c>
      <c r="F208" s="2">
        <v>-0.44042300000000001</v>
      </c>
      <c r="G208" s="2">
        <v>-0.29817300000000002</v>
      </c>
    </row>
    <row r="209" spans="1:7" x14ac:dyDescent="0.3">
      <c r="A209">
        <v>2524</v>
      </c>
      <c r="B209" t="s">
        <v>214</v>
      </c>
      <c r="C209" s="2"/>
      <c r="D209" s="2"/>
      <c r="E209" s="2">
        <v>-1.132E-3</v>
      </c>
      <c r="F209" s="2"/>
      <c r="G209" s="2"/>
    </row>
    <row r="210" spans="1:7" x14ac:dyDescent="0.3">
      <c r="A210">
        <v>2529</v>
      </c>
      <c r="B210" t="s">
        <v>215</v>
      </c>
      <c r="C210" s="2">
        <v>-1.2687E-2</v>
      </c>
      <c r="D210" s="2">
        <v>-1.3618999999999999E-2</v>
      </c>
      <c r="E210" s="2">
        <v>2.1786E-2</v>
      </c>
      <c r="F210" s="2">
        <v>9.319999999999988E-4</v>
      </c>
      <c r="G210" s="2">
        <v>-3.4472999999999997E-2</v>
      </c>
    </row>
    <row r="211" spans="1:7" x14ac:dyDescent="0.3">
      <c r="A211">
        <v>2530</v>
      </c>
      <c r="B211" t="s">
        <v>216</v>
      </c>
      <c r="C211" s="2">
        <v>4.7899999999999999E-4</v>
      </c>
      <c r="D211" s="2">
        <v>5.7600000000000001E-4</v>
      </c>
      <c r="E211" s="2">
        <v>2.6450000000000002E-3</v>
      </c>
      <c r="F211" s="2">
        <v>-9.7000000000000027E-5</v>
      </c>
      <c r="G211" s="2">
        <v>-2.166E-3</v>
      </c>
    </row>
    <row r="212" spans="1:7" x14ac:dyDescent="0.3">
      <c r="A212">
        <v>2534</v>
      </c>
      <c r="B212" t="s">
        <v>217</v>
      </c>
      <c r="C212" s="2">
        <v>0.131909</v>
      </c>
      <c r="D212" s="2">
        <v>0.13197300000000001</v>
      </c>
      <c r="E212" s="2">
        <v>2.7113999999999999E-2</v>
      </c>
      <c r="F212" s="2">
        <v>-6.4000000000008495E-5</v>
      </c>
      <c r="G212" s="2">
        <v>0.104795</v>
      </c>
    </row>
    <row r="213" spans="1:7" x14ac:dyDescent="0.3">
      <c r="A213">
        <v>2546</v>
      </c>
      <c r="B213" t="s">
        <v>218</v>
      </c>
      <c r="C213" s="2">
        <v>1.134279</v>
      </c>
      <c r="D213" s="2">
        <v>0.72420799999999996</v>
      </c>
      <c r="E213" s="2">
        <v>2.9834749999999999</v>
      </c>
      <c r="F213" s="2">
        <v>0.41007100000000007</v>
      </c>
      <c r="G213" s="2">
        <v>-1.8491960000000001</v>
      </c>
    </row>
    <row r="214" spans="1:7" x14ac:dyDescent="0.3">
      <c r="A214">
        <v>2551</v>
      </c>
      <c r="B214" t="s">
        <v>219</v>
      </c>
      <c r="C214" s="2">
        <v>1.5113E-2</v>
      </c>
      <c r="D214" s="2">
        <v>4.4200000000000001E-4</v>
      </c>
      <c r="E214" s="2">
        <v>3.9639999999999996E-3</v>
      </c>
      <c r="F214" s="2">
        <v>1.4671E-2</v>
      </c>
      <c r="G214" s="2">
        <v>1.1148999999999999E-2</v>
      </c>
    </row>
    <row r="215" spans="1:7" x14ac:dyDescent="0.3">
      <c r="A215">
        <v>2557</v>
      </c>
      <c r="B215" t="s">
        <v>220</v>
      </c>
      <c r="C215" s="2">
        <v>0.73497800000000002</v>
      </c>
      <c r="D215" s="2">
        <v>2.2361179999999998</v>
      </c>
      <c r="E215" s="2">
        <v>-0.80901999999999996</v>
      </c>
      <c r="F215" s="2">
        <v>-1.5011399999999999</v>
      </c>
      <c r="G215" s="2">
        <v>1.543998</v>
      </c>
    </row>
    <row r="216" spans="1:7" x14ac:dyDescent="0.3">
      <c r="A216">
        <v>2559</v>
      </c>
      <c r="B216" t="s">
        <v>221</v>
      </c>
      <c r="C216" s="2">
        <v>3.6568999999999997E-2</v>
      </c>
      <c r="D216" s="2">
        <v>2.9062000000000001E-2</v>
      </c>
      <c r="E216" s="2">
        <v>2.8455999999999999E-2</v>
      </c>
      <c r="F216" s="2">
        <v>7.5069999999999963E-3</v>
      </c>
      <c r="G216" s="2">
        <v>8.1129999999999987E-3</v>
      </c>
    </row>
    <row r="217" spans="1:7" x14ac:dyDescent="0.3">
      <c r="A217">
        <v>2564</v>
      </c>
      <c r="B217" t="s">
        <v>222</v>
      </c>
      <c r="C217" s="2">
        <v>5.6940000000000003E-3</v>
      </c>
      <c r="D217" s="2">
        <v>1.8710000000000001E-3</v>
      </c>
      <c r="E217" s="2">
        <v>2.7880000000000001E-3</v>
      </c>
      <c r="F217" s="2">
        <v>3.823E-3</v>
      </c>
      <c r="G217" s="2">
        <v>2.9060000000000002E-3</v>
      </c>
    </row>
    <row r="218" spans="1:7" x14ac:dyDescent="0.3">
      <c r="A218">
        <v>2568</v>
      </c>
      <c r="B218" t="s">
        <v>223</v>
      </c>
      <c r="C218" s="2">
        <v>-8.2310000000000005E-3</v>
      </c>
      <c r="D218" s="2">
        <v>2.147E-3</v>
      </c>
      <c r="E218" s="2">
        <v>8.2229999999999994E-3</v>
      </c>
      <c r="F218" s="2">
        <v>-1.0378E-2</v>
      </c>
      <c r="G218" s="2">
        <v>-1.6454E-2</v>
      </c>
    </row>
    <row r="219" spans="1:7" x14ac:dyDescent="0.3">
      <c r="A219">
        <v>2574</v>
      </c>
      <c r="B219" t="s">
        <v>224</v>
      </c>
      <c r="C219" s="2">
        <v>-3.3140000000000001E-3</v>
      </c>
      <c r="D219" s="2">
        <v>-5.3990000000000002E-3</v>
      </c>
      <c r="E219" s="2">
        <v>7.0049999999999999E-3</v>
      </c>
      <c r="F219" s="2">
        <v>2.085E-3</v>
      </c>
      <c r="G219" s="2">
        <v>-1.0319E-2</v>
      </c>
    </row>
    <row r="220" spans="1:7" x14ac:dyDescent="0.3">
      <c r="A220">
        <v>2576</v>
      </c>
      <c r="B220" t="s">
        <v>225</v>
      </c>
      <c r="C220" s="2">
        <v>-8.4699999999999999E-4</v>
      </c>
      <c r="D220" s="2">
        <v>3.4012000000000001E-2</v>
      </c>
      <c r="E220" s="2">
        <v>7.2551000000000004E-2</v>
      </c>
      <c r="F220" s="2">
        <v>-3.4859000000000001E-2</v>
      </c>
      <c r="G220" s="2">
        <v>-7.3398000000000005E-2</v>
      </c>
    </row>
    <row r="221" spans="1:7" x14ac:dyDescent="0.3">
      <c r="A221">
        <v>2584</v>
      </c>
      <c r="B221" t="s">
        <v>226</v>
      </c>
      <c r="C221" s="2">
        <v>8.0500000000000005E-4</v>
      </c>
      <c r="D221" s="2">
        <v>4.9839999999999997E-3</v>
      </c>
      <c r="E221" s="2">
        <v>2.1222000000000001E-2</v>
      </c>
      <c r="F221" s="2">
        <v>-4.1790000000000004E-3</v>
      </c>
      <c r="G221" s="2">
        <v>-2.0417000000000001E-2</v>
      </c>
    </row>
    <row r="222" spans="1:7" x14ac:dyDescent="0.3">
      <c r="A222">
        <v>2587</v>
      </c>
      <c r="B222" t="s">
        <v>227</v>
      </c>
      <c r="C222" s="2">
        <v>1.1946E-2</v>
      </c>
      <c r="D222" s="2">
        <v>1.533E-2</v>
      </c>
      <c r="E222" s="2">
        <v>3.0107999999999999E-2</v>
      </c>
      <c r="F222" s="2">
        <v>-3.3839999999999999E-3</v>
      </c>
      <c r="G222" s="2">
        <v>-1.8162000000000001E-2</v>
      </c>
    </row>
    <row r="223" spans="1:7" x14ac:dyDescent="0.3">
      <c r="A223">
        <v>2590</v>
      </c>
      <c r="B223" t="s">
        <v>228</v>
      </c>
      <c r="C223" s="2">
        <v>0.70632099999999998</v>
      </c>
      <c r="D223" s="2">
        <v>0.57334499999999999</v>
      </c>
      <c r="E223" s="2">
        <v>0.119209</v>
      </c>
      <c r="F223" s="2">
        <v>0.13297600000000001</v>
      </c>
      <c r="G223" s="2">
        <v>0.58711199999999997</v>
      </c>
    </row>
    <row r="224" spans="1:7" x14ac:dyDescent="0.3">
      <c r="A224">
        <v>2593</v>
      </c>
      <c r="B224" t="s">
        <v>229</v>
      </c>
      <c r="C224" s="2"/>
      <c r="D224" s="2"/>
      <c r="E224" s="2">
        <v>-2.2041000000000002E-2</v>
      </c>
      <c r="F224" s="2"/>
      <c r="G224" s="2"/>
    </row>
    <row r="225" spans="1:7" x14ac:dyDescent="0.3">
      <c r="A225">
        <v>2602</v>
      </c>
      <c r="B225" t="s">
        <v>230</v>
      </c>
      <c r="C225" s="2">
        <v>6.6597000000000003E-2</v>
      </c>
      <c r="D225" s="2">
        <v>-1.8544000000000001E-2</v>
      </c>
      <c r="E225" s="2">
        <v>3.2489999999999998E-2</v>
      </c>
      <c r="F225" s="2">
        <v>8.5141000000000008E-2</v>
      </c>
      <c r="G225" s="2">
        <v>3.4107000000000012E-2</v>
      </c>
    </row>
    <row r="226" spans="1:7" x14ac:dyDescent="0.3">
      <c r="A226">
        <v>2607</v>
      </c>
      <c r="B226" t="s">
        <v>231</v>
      </c>
      <c r="C226" s="2">
        <v>-1.3762E-2</v>
      </c>
      <c r="D226" s="2">
        <v>2.7900000000000001E-4</v>
      </c>
      <c r="E226" s="2">
        <v>-4.7670000000000004E-3</v>
      </c>
      <c r="F226" s="2">
        <v>-1.4041E-2</v>
      </c>
      <c r="G226" s="2">
        <v>-8.9949999999999995E-3</v>
      </c>
    </row>
    <row r="227" spans="1:7" x14ac:dyDescent="0.3">
      <c r="A227">
        <v>2609</v>
      </c>
      <c r="B227" t="s">
        <v>232</v>
      </c>
      <c r="C227" s="2">
        <v>3.026E-3</v>
      </c>
      <c r="D227" s="2">
        <v>-1.555E-3</v>
      </c>
      <c r="E227" s="2">
        <v>1.0999999999999999E-2</v>
      </c>
      <c r="F227" s="2">
        <v>4.581E-3</v>
      </c>
      <c r="G227" s="2">
        <v>-7.9739999999999985E-3</v>
      </c>
    </row>
    <row r="228" spans="1:7" x14ac:dyDescent="0.3">
      <c r="A228">
        <v>2611</v>
      </c>
      <c r="B228" t="s">
        <v>233</v>
      </c>
      <c r="C228" s="2">
        <v>0.108849</v>
      </c>
      <c r="D228" s="2">
        <v>1.5987999999999999E-2</v>
      </c>
      <c r="E228" s="2">
        <v>3.3730000000000001E-3</v>
      </c>
      <c r="F228" s="2">
        <v>9.2860999999999999E-2</v>
      </c>
      <c r="G228" s="2">
        <v>0.105476</v>
      </c>
    </row>
    <row r="229" spans="1:7" x14ac:dyDescent="0.3">
      <c r="A229">
        <v>2618</v>
      </c>
      <c r="B229" t="s">
        <v>234</v>
      </c>
      <c r="C229" s="2">
        <v>0.18381500000000001</v>
      </c>
      <c r="D229" s="2">
        <v>-0.22625000000000001</v>
      </c>
      <c r="E229" s="2">
        <v>2.2414E-2</v>
      </c>
      <c r="F229" s="2">
        <v>0.41006500000000001</v>
      </c>
      <c r="G229" s="2">
        <v>0.16140099999999999</v>
      </c>
    </row>
    <row r="230" spans="1:7" x14ac:dyDescent="0.3">
      <c r="A230">
        <v>2629</v>
      </c>
      <c r="B230" t="s">
        <v>235</v>
      </c>
      <c r="C230" s="2">
        <v>0.58591700000000002</v>
      </c>
      <c r="D230" s="2">
        <v>-0.40103499999999997</v>
      </c>
      <c r="E230" s="2">
        <v>4.4249999999999998E-2</v>
      </c>
      <c r="F230" s="2">
        <v>0.98695200000000005</v>
      </c>
      <c r="G230" s="2">
        <v>0.54166700000000001</v>
      </c>
    </row>
    <row r="231" spans="1:7" x14ac:dyDescent="0.3">
      <c r="A231">
        <v>2638</v>
      </c>
      <c r="B231" t="s">
        <v>236</v>
      </c>
      <c r="C231" s="2">
        <v>1.6746E-2</v>
      </c>
      <c r="D231" s="2">
        <v>8.6429999999999996E-3</v>
      </c>
      <c r="E231" s="2">
        <v>3.3224999999999998E-2</v>
      </c>
      <c r="F231" s="2">
        <v>8.1030000000000008E-3</v>
      </c>
      <c r="G231" s="2">
        <v>-1.6479000000000001E-2</v>
      </c>
    </row>
    <row r="232" spans="1:7" x14ac:dyDescent="0.3">
      <c r="A232">
        <v>2645</v>
      </c>
      <c r="B232" t="s">
        <v>237</v>
      </c>
      <c r="C232" s="2">
        <v>-5.8849999999999996E-3</v>
      </c>
      <c r="D232" s="2">
        <v>-6.3239999999999998E-3</v>
      </c>
      <c r="E232" s="2">
        <v>1.377E-3</v>
      </c>
      <c r="F232" s="2">
        <v>4.3900000000000021E-4</v>
      </c>
      <c r="G232" s="2">
        <v>-7.2619999999999994E-3</v>
      </c>
    </row>
    <row r="233" spans="1:7" x14ac:dyDescent="0.3">
      <c r="A233">
        <v>2646</v>
      </c>
      <c r="B233" t="s">
        <v>238</v>
      </c>
      <c r="C233" s="2"/>
      <c r="D233" s="2"/>
      <c r="E233" s="2"/>
      <c r="F233" s="2"/>
      <c r="G233" s="2"/>
    </row>
    <row r="234" spans="1:7" x14ac:dyDescent="0.3">
      <c r="A234">
        <v>2650</v>
      </c>
      <c r="B234" t="s">
        <v>239</v>
      </c>
      <c r="C234" s="2">
        <v>1.8799999999999999E-4</v>
      </c>
      <c r="D234" s="2">
        <v>-4.3999999999999999E-5</v>
      </c>
      <c r="E234" s="2">
        <v>-3.5990000000000002E-3</v>
      </c>
      <c r="F234" s="2">
        <v>2.32E-4</v>
      </c>
      <c r="G234" s="2">
        <v>3.787E-3</v>
      </c>
    </row>
    <row r="235" spans="1:7" x14ac:dyDescent="0.3">
      <c r="A235">
        <v>2659</v>
      </c>
      <c r="B235" t="s">
        <v>240</v>
      </c>
      <c r="C235" s="2">
        <v>6.3006000000000006E-2</v>
      </c>
      <c r="D235" s="2">
        <v>-2.0470000000000002E-3</v>
      </c>
      <c r="E235" s="2">
        <v>2.9780999999999998E-2</v>
      </c>
      <c r="F235" s="2">
        <v>6.5053E-2</v>
      </c>
      <c r="G235" s="2">
        <v>3.3224999999999998E-2</v>
      </c>
    </row>
    <row r="236" spans="1:7" x14ac:dyDescent="0.3">
      <c r="A236">
        <v>2664</v>
      </c>
      <c r="B236" t="s">
        <v>241</v>
      </c>
      <c r="C236" s="2">
        <v>9.5309999999999995E-3</v>
      </c>
      <c r="D236" s="2">
        <v>1.95E-4</v>
      </c>
      <c r="E236" s="2">
        <v>8.1099999999999998E-4</v>
      </c>
      <c r="F236" s="2">
        <v>9.3359999999999988E-3</v>
      </c>
      <c r="G236" s="2">
        <v>8.7200000000000003E-3</v>
      </c>
    </row>
    <row r="237" spans="1:7" x14ac:dyDescent="0.3">
      <c r="A237">
        <v>2673</v>
      </c>
      <c r="B237" t="s">
        <v>242</v>
      </c>
      <c r="C237" s="2">
        <v>3.8249469999999999</v>
      </c>
      <c r="D237" s="2">
        <v>1.521077</v>
      </c>
      <c r="E237" s="2">
        <v>0.84478799999999998</v>
      </c>
      <c r="F237" s="2">
        <v>2.3038699999999999</v>
      </c>
      <c r="G237" s="2">
        <v>2.980159</v>
      </c>
    </row>
    <row r="238" spans="1:7" x14ac:dyDescent="0.3">
      <c r="A238">
        <v>2682</v>
      </c>
      <c r="B238" t="s">
        <v>243</v>
      </c>
      <c r="C238" s="2">
        <v>-8.5339999999999999E-3</v>
      </c>
      <c r="D238" s="2">
        <v>3.3870999999999998E-2</v>
      </c>
      <c r="E238" s="2">
        <v>-6.8529999999999997E-3</v>
      </c>
      <c r="F238" s="2">
        <v>-4.2404999999999998E-2</v>
      </c>
      <c r="G238" s="2">
        <v>-1.681E-3</v>
      </c>
    </row>
    <row r="239" spans="1:7" x14ac:dyDescent="0.3">
      <c r="A239">
        <v>2684</v>
      </c>
      <c r="B239" t="s">
        <v>244</v>
      </c>
      <c r="C239" s="2">
        <v>-3.5874000000000003E-2</v>
      </c>
      <c r="D239" s="2">
        <v>-3.2750000000000001E-3</v>
      </c>
      <c r="E239" s="2">
        <v>-1.366E-3</v>
      </c>
      <c r="F239" s="2">
        <v>-3.2599000000000003E-2</v>
      </c>
      <c r="G239" s="2">
        <v>-3.4507999999999997E-2</v>
      </c>
    </row>
    <row r="240" spans="1:7" x14ac:dyDescent="0.3">
      <c r="A240">
        <v>2707</v>
      </c>
      <c r="B240" t="s">
        <v>245</v>
      </c>
      <c r="C240" s="2">
        <v>0.247003</v>
      </c>
      <c r="D240" s="2">
        <v>9.3722E-2</v>
      </c>
      <c r="E240" s="2">
        <v>-6.3296000000000005E-2</v>
      </c>
      <c r="F240" s="2">
        <v>0.153281</v>
      </c>
      <c r="G240" s="2">
        <v>0.31029899999999999</v>
      </c>
    </row>
    <row r="241" spans="1:7" x14ac:dyDescent="0.3">
      <c r="A241">
        <v>2721</v>
      </c>
      <c r="B241" t="s">
        <v>246</v>
      </c>
      <c r="C241" s="2">
        <v>-1.47E-3</v>
      </c>
      <c r="D241" s="2">
        <v>4.4705000000000002E-2</v>
      </c>
      <c r="E241" s="2">
        <v>-2.0621E-2</v>
      </c>
      <c r="F241" s="2">
        <v>-4.6175000000000001E-2</v>
      </c>
      <c r="G241" s="2">
        <v>1.9151000000000001E-2</v>
      </c>
    </row>
    <row r="242" spans="1:7" x14ac:dyDescent="0.3">
      <c r="A242">
        <v>2722</v>
      </c>
      <c r="B242" t="s">
        <v>247</v>
      </c>
      <c r="C242" s="2">
        <v>-1.8209999999999999E-3</v>
      </c>
      <c r="D242" s="2">
        <v>4.7199999999999998E-4</v>
      </c>
      <c r="E242" s="2">
        <v>-4.8200000000000001E-4</v>
      </c>
      <c r="F242" s="2">
        <v>-2.2929999999999999E-3</v>
      </c>
      <c r="G242" s="2">
        <v>-1.3389999999999999E-3</v>
      </c>
    </row>
    <row r="243" spans="1:7" x14ac:dyDescent="0.3">
      <c r="A243">
        <v>2726</v>
      </c>
      <c r="B243" t="s">
        <v>248</v>
      </c>
      <c r="C243" s="2">
        <v>0.15454399999999999</v>
      </c>
      <c r="D243" s="2">
        <v>0.15784000000000001</v>
      </c>
      <c r="E243" s="2">
        <v>9.1738E-2</v>
      </c>
      <c r="F243" s="2">
        <v>-3.2960000000000211E-3</v>
      </c>
      <c r="G243" s="2">
        <v>6.2805999999999987E-2</v>
      </c>
    </row>
    <row r="244" spans="1:7" x14ac:dyDescent="0.3">
      <c r="A244">
        <v>2733</v>
      </c>
      <c r="B244" t="s">
        <v>249</v>
      </c>
      <c r="C244" s="2">
        <v>0.148565</v>
      </c>
      <c r="D244" s="2">
        <v>7.8784999999999994E-2</v>
      </c>
      <c r="E244" s="2">
        <v>6.4973000000000003E-2</v>
      </c>
      <c r="F244" s="2">
        <v>6.9780000000000009E-2</v>
      </c>
      <c r="G244" s="2">
        <v>8.3592E-2</v>
      </c>
    </row>
    <row r="245" spans="1:7" x14ac:dyDescent="0.3">
      <c r="A245">
        <v>2738</v>
      </c>
      <c r="B245" t="s">
        <v>250</v>
      </c>
      <c r="C245" s="2">
        <v>0.20577100000000001</v>
      </c>
      <c r="D245" s="2">
        <v>0.105324</v>
      </c>
      <c r="E245" s="2">
        <v>0.13444999999999999</v>
      </c>
      <c r="F245" s="2">
        <v>0.10044699999999999</v>
      </c>
      <c r="G245" s="2">
        <v>7.1321000000000023E-2</v>
      </c>
    </row>
    <row r="246" spans="1:7" x14ac:dyDescent="0.3">
      <c r="A246">
        <v>2748</v>
      </c>
      <c r="B246" t="s">
        <v>251</v>
      </c>
      <c r="C246" s="2">
        <v>-0.108852</v>
      </c>
      <c r="D246" s="2">
        <v>0.72132300000000005</v>
      </c>
      <c r="E246" s="2">
        <v>0.53024700000000002</v>
      </c>
      <c r="F246" s="2">
        <v>-0.83017500000000011</v>
      </c>
      <c r="G246" s="2">
        <v>-0.63909900000000008</v>
      </c>
    </row>
    <row r="247" spans="1:7" x14ac:dyDescent="0.3">
      <c r="A247">
        <v>2749</v>
      </c>
      <c r="B247" t="s">
        <v>252</v>
      </c>
      <c r="C247" s="2"/>
      <c r="D247" s="2"/>
      <c r="E247" s="2">
        <v>1.2780000000000001E-3</v>
      </c>
      <c r="F247" s="2"/>
      <c r="G247" s="2"/>
    </row>
    <row r="248" spans="1:7" x14ac:dyDescent="0.3">
      <c r="A248">
        <v>2755</v>
      </c>
      <c r="B248" t="s">
        <v>253</v>
      </c>
      <c r="C248" s="2">
        <v>2.2838000000000001E-2</v>
      </c>
      <c r="D248" s="2">
        <v>1.8897000000000001E-2</v>
      </c>
      <c r="E248" s="2">
        <v>9.2999999999999997E-5</v>
      </c>
      <c r="F248" s="2">
        <v>3.9410000000000001E-3</v>
      </c>
      <c r="G248" s="2">
        <v>2.2745000000000001E-2</v>
      </c>
    </row>
    <row r="249" spans="1:7" x14ac:dyDescent="0.3">
      <c r="A249">
        <v>2756</v>
      </c>
      <c r="B249" t="s">
        <v>254</v>
      </c>
      <c r="C249" s="2"/>
      <c r="D249" s="2">
        <v>-1.4549999999999999E-3</v>
      </c>
      <c r="E249" s="2">
        <v>5.0509999999999999E-3</v>
      </c>
      <c r="F249" s="2"/>
      <c r="G249" s="2"/>
    </row>
    <row r="250" spans="1:7" x14ac:dyDescent="0.3">
      <c r="A250">
        <v>2761</v>
      </c>
      <c r="B250" t="s">
        <v>255</v>
      </c>
      <c r="C250" s="2">
        <v>-1.13E-4</v>
      </c>
      <c r="D250" s="2">
        <v>-4.0299999999999998E-4</v>
      </c>
      <c r="E250" s="2">
        <v>-1.5300000000000001E-4</v>
      </c>
      <c r="F250" s="2">
        <v>2.9E-4</v>
      </c>
      <c r="G250" s="2">
        <v>4.000000000000001E-5</v>
      </c>
    </row>
    <row r="251" spans="1:7" x14ac:dyDescent="0.3">
      <c r="A251">
        <v>2763</v>
      </c>
      <c r="B251" t="s">
        <v>256</v>
      </c>
      <c r="C251" s="2">
        <v>0.176181</v>
      </c>
      <c r="D251" s="2">
        <v>8.6876999999999996E-2</v>
      </c>
      <c r="E251" s="2">
        <v>4.7409E-2</v>
      </c>
      <c r="F251" s="2">
        <v>8.9304000000000008E-2</v>
      </c>
      <c r="G251" s="2">
        <v>0.128772</v>
      </c>
    </row>
    <row r="252" spans="1:7" x14ac:dyDescent="0.3">
      <c r="A252">
        <v>2764</v>
      </c>
      <c r="B252" t="s">
        <v>257</v>
      </c>
      <c r="C252" s="2"/>
      <c r="D252" s="2"/>
      <c r="E252" s="2">
        <v>-0.13601099999999999</v>
      </c>
      <c r="F252" s="2"/>
      <c r="G252" s="2"/>
    </row>
    <row r="253" spans="1:7" x14ac:dyDescent="0.3">
      <c r="A253">
        <v>2766</v>
      </c>
      <c r="B253" t="s">
        <v>258</v>
      </c>
      <c r="C253" s="2">
        <v>0.23607500000000001</v>
      </c>
      <c r="D253" s="2">
        <v>-0.367699</v>
      </c>
      <c r="E253" s="2">
        <v>-0.32718700000000001</v>
      </c>
      <c r="F253" s="2">
        <v>0.60377400000000003</v>
      </c>
      <c r="G253" s="2">
        <v>0.56326200000000004</v>
      </c>
    </row>
    <row r="254" spans="1:7" x14ac:dyDescent="0.3">
      <c r="A254">
        <v>2772</v>
      </c>
      <c r="B254" t="s">
        <v>259</v>
      </c>
      <c r="C254" s="2">
        <v>-7.2216000000000002E-2</v>
      </c>
      <c r="D254" s="2">
        <v>2.5179999999999998E-3</v>
      </c>
      <c r="E254" s="2">
        <v>2.4316000000000001E-2</v>
      </c>
      <c r="F254" s="2">
        <v>-7.4734000000000009E-2</v>
      </c>
      <c r="G254" s="2">
        <v>-9.6532000000000007E-2</v>
      </c>
    </row>
    <row r="255" spans="1:7" x14ac:dyDescent="0.3">
      <c r="A255">
        <v>2776</v>
      </c>
      <c r="B255" t="s">
        <v>260</v>
      </c>
      <c r="C255" s="2">
        <v>0.101398</v>
      </c>
      <c r="D255" s="2">
        <v>0.19719</v>
      </c>
      <c r="E255" s="2">
        <v>3.4623000000000001E-2</v>
      </c>
      <c r="F255" s="2">
        <v>-9.5792000000000002E-2</v>
      </c>
      <c r="G255" s="2">
        <v>6.6775000000000001E-2</v>
      </c>
    </row>
    <row r="256" spans="1:7" x14ac:dyDescent="0.3">
      <c r="A256">
        <v>2789</v>
      </c>
      <c r="B256" t="s">
        <v>261</v>
      </c>
      <c r="C256" s="2">
        <v>8.7482000000000004E-2</v>
      </c>
      <c r="D256" s="2">
        <v>1.9713000000000001E-2</v>
      </c>
      <c r="E256" s="2">
        <v>-6.8380000000000003E-3</v>
      </c>
      <c r="F256" s="2">
        <v>6.7768999999999996E-2</v>
      </c>
      <c r="G256" s="2">
        <v>9.4320000000000001E-2</v>
      </c>
    </row>
    <row r="257" spans="1:7" x14ac:dyDescent="0.3">
      <c r="A257">
        <v>2790</v>
      </c>
      <c r="B257" t="s">
        <v>262</v>
      </c>
      <c r="C257" s="2">
        <v>0.267654</v>
      </c>
      <c r="D257" s="2">
        <v>0.22887399999999999</v>
      </c>
      <c r="E257" s="2">
        <v>0.81931699999999996</v>
      </c>
      <c r="F257" s="2">
        <v>3.8780000000000009E-2</v>
      </c>
      <c r="G257" s="2">
        <v>-0.55166300000000001</v>
      </c>
    </row>
    <row r="258" spans="1:7" x14ac:dyDescent="0.3">
      <c r="A258">
        <v>2796</v>
      </c>
      <c r="B258" t="s">
        <v>263</v>
      </c>
      <c r="C258" s="2">
        <v>6.2100000000000002E-4</v>
      </c>
      <c r="D258" s="2">
        <v>-2.3249999999999998E-3</v>
      </c>
      <c r="E258" s="2">
        <v>6.9170000000000004E-3</v>
      </c>
      <c r="F258" s="2">
        <v>2.9459999999999998E-3</v>
      </c>
      <c r="G258" s="2">
        <v>-6.2960000000000004E-3</v>
      </c>
    </row>
    <row r="259" spans="1:7" x14ac:dyDescent="0.3">
      <c r="A259">
        <v>2799</v>
      </c>
      <c r="B259" t="s">
        <v>264</v>
      </c>
      <c r="C259" s="2">
        <v>1.1263E-2</v>
      </c>
      <c r="D259" s="2">
        <v>-5.8999999999999998E-5</v>
      </c>
      <c r="E259" s="2">
        <v>2.846E-3</v>
      </c>
      <c r="F259" s="2">
        <v>1.1322E-2</v>
      </c>
      <c r="G259" s="2">
        <v>8.4170000000000009E-3</v>
      </c>
    </row>
    <row r="260" spans="1:7" x14ac:dyDescent="0.3">
      <c r="A260">
        <v>2802</v>
      </c>
      <c r="B260" t="s">
        <v>265</v>
      </c>
      <c r="C260" s="2">
        <v>-1.719E-3</v>
      </c>
      <c r="D260" s="2">
        <v>-2.8809999999999999E-3</v>
      </c>
      <c r="E260" s="2">
        <v>1.6119999999999999E-3</v>
      </c>
      <c r="F260" s="2">
        <v>1.1620000000000001E-3</v>
      </c>
      <c r="G260" s="2">
        <v>-3.3310000000000002E-3</v>
      </c>
    </row>
    <row r="261" spans="1:7" x14ac:dyDescent="0.3">
      <c r="A261">
        <v>2807</v>
      </c>
      <c r="B261" t="s">
        <v>266</v>
      </c>
      <c r="C261" s="2">
        <v>7.9279999999999993E-3</v>
      </c>
      <c r="D261" s="2">
        <v>1.0510000000000001E-3</v>
      </c>
      <c r="E261" s="2">
        <v>4.5310000000000003E-3</v>
      </c>
      <c r="F261" s="2">
        <v>6.8769999999999994E-3</v>
      </c>
      <c r="G261" s="2">
        <v>3.396999999999999E-3</v>
      </c>
    </row>
    <row r="262" spans="1:7" x14ac:dyDescent="0.3">
      <c r="A262">
        <v>2816</v>
      </c>
      <c r="B262" t="s">
        <v>267</v>
      </c>
      <c r="C262" s="2">
        <v>4.1924999999999997E-2</v>
      </c>
      <c r="D262" s="2">
        <v>-7.8320000000000004E-3</v>
      </c>
      <c r="E262" s="2">
        <v>3.5729999999999998E-3</v>
      </c>
      <c r="F262" s="2">
        <v>4.9757000000000003E-2</v>
      </c>
      <c r="G262" s="2">
        <v>3.8351999999999997E-2</v>
      </c>
    </row>
    <row r="263" spans="1:7" x14ac:dyDescent="0.3">
      <c r="A263">
        <v>2830</v>
      </c>
      <c r="B263" t="s">
        <v>268</v>
      </c>
      <c r="C263" s="2">
        <v>4.3420000000000004E-3</v>
      </c>
      <c r="D263" s="2">
        <v>-6.914E-3</v>
      </c>
      <c r="E263" s="2">
        <v>1.248E-3</v>
      </c>
      <c r="F263" s="2">
        <v>1.1256E-2</v>
      </c>
      <c r="G263" s="2">
        <v>3.094E-3</v>
      </c>
    </row>
    <row r="264" spans="1:7" x14ac:dyDescent="0.3">
      <c r="A264">
        <v>2838</v>
      </c>
      <c r="B264" t="s">
        <v>269</v>
      </c>
      <c r="C264" s="2">
        <v>-1.3442000000000001E-2</v>
      </c>
      <c r="D264" s="2">
        <v>-1.4623000000000001E-2</v>
      </c>
      <c r="E264" s="2">
        <v>4.7080000000000004E-3</v>
      </c>
      <c r="F264" s="2">
        <v>1.181E-3</v>
      </c>
      <c r="G264" s="2">
        <v>-1.8149999999999999E-2</v>
      </c>
    </row>
    <row r="265" spans="1:7" x14ac:dyDescent="0.3">
      <c r="A265">
        <v>2846</v>
      </c>
      <c r="B265" t="s">
        <v>270</v>
      </c>
      <c r="C265" s="2">
        <v>0.14135</v>
      </c>
      <c r="D265" s="2">
        <v>8.0317E-2</v>
      </c>
      <c r="E265" s="2">
        <v>2.8615999999999999E-2</v>
      </c>
      <c r="F265" s="2">
        <v>6.1032999999999997E-2</v>
      </c>
      <c r="G265" s="2">
        <v>0.112734</v>
      </c>
    </row>
    <row r="266" spans="1:7" x14ac:dyDescent="0.3">
      <c r="A266">
        <v>2853</v>
      </c>
      <c r="B266" t="s">
        <v>271</v>
      </c>
      <c r="C266" s="2">
        <v>4.9200000000000003E-4</v>
      </c>
      <c r="D266" s="2">
        <v>9.7300000000000002E-4</v>
      </c>
      <c r="E266" s="2">
        <v>1.07E-4</v>
      </c>
      <c r="F266" s="2">
        <v>-4.8099999999999998E-4</v>
      </c>
      <c r="G266" s="2">
        <v>3.8499999999999998E-4</v>
      </c>
    </row>
    <row r="267" spans="1:7" x14ac:dyDescent="0.3">
      <c r="A267">
        <v>2860</v>
      </c>
      <c r="B267" t="s">
        <v>272</v>
      </c>
      <c r="C267" s="2">
        <v>9.4399999999999996E-4</v>
      </c>
      <c r="D267" s="2">
        <v>6.0889999999999998E-3</v>
      </c>
      <c r="E267" s="2">
        <v>1.1479999999999999E-3</v>
      </c>
      <c r="F267" s="2">
        <v>-5.1450000000000003E-3</v>
      </c>
      <c r="G267" s="2">
        <v>-2.04E-4</v>
      </c>
    </row>
    <row r="268" spans="1:7" x14ac:dyDescent="0.3">
      <c r="A268">
        <v>2867</v>
      </c>
      <c r="B268" t="s">
        <v>273</v>
      </c>
      <c r="C268" s="2">
        <v>2.6232999999999999E-2</v>
      </c>
      <c r="D268" s="2">
        <v>-2.8639999999999998E-3</v>
      </c>
      <c r="E268" s="2">
        <v>1.8721000000000002E-2</v>
      </c>
      <c r="F268" s="2">
        <v>2.9097000000000001E-2</v>
      </c>
      <c r="G268" s="2">
        <v>7.5119999999999978E-3</v>
      </c>
    </row>
    <row r="269" spans="1:7" x14ac:dyDescent="0.3">
      <c r="A269">
        <v>2868</v>
      </c>
      <c r="B269" t="s">
        <v>274</v>
      </c>
      <c r="C269" s="2">
        <v>-2.34E-4</v>
      </c>
      <c r="D269" s="2">
        <v>-2.5222000000000001E-2</v>
      </c>
      <c r="E269" s="2">
        <v>-3.7940000000000001E-3</v>
      </c>
      <c r="F269" s="2">
        <v>2.4988E-2</v>
      </c>
      <c r="G269" s="2">
        <v>3.5599999999999998E-3</v>
      </c>
    </row>
    <row r="270" spans="1:7" x14ac:dyDescent="0.3">
      <c r="A270">
        <v>2876</v>
      </c>
      <c r="B270" t="s">
        <v>275</v>
      </c>
      <c r="C270" s="2">
        <v>-1.2199999999999999E-3</v>
      </c>
      <c r="D270" s="2">
        <v>-3.9960000000000004E-3</v>
      </c>
      <c r="E270" s="2">
        <v>-6.79E-3</v>
      </c>
      <c r="F270" s="2">
        <v>2.7760000000000011E-3</v>
      </c>
      <c r="G270" s="2">
        <v>5.5700000000000003E-3</v>
      </c>
    </row>
    <row r="271" spans="1:7" x14ac:dyDescent="0.3">
      <c r="A271">
        <v>2877</v>
      </c>
      <c r="B271" t="s">
        <v>276</v>
      </c>
      <c r="C271" s="2">
        <v>-7.5059999999999997E-3</v>
      </c>
      <c r="D271" s="2">
        <v>-8.6689999999999996E-3</v>
      </c>
      <c r="E271" s="2">
        <v>-2.3410000000000002E-3</v>
      </c>
      <c r="F271" s="2">
        <v>1.163E-3</v>
      </c>
      <c r="G271" s="2">
        <v>-5.1649999999999986E-3</v>
      </c>
    </row>
    <row r="272" spans="1:7" x14ac:dyDescent="0.3">
      <c r="A272">
        <v>2879</v>
      </c>
      <c r="B272" t="s">
        <v>277</v>
      </c>
      <c r="C272" s="2">
        <v>1.038791</v>
      </c>
      <c r="D272" s="2">
        <v>0.42393900000000001</v>
      </c>
      <c r="E272" s="2">
        <v>0.26271099999999997</v>
      </c>
      <c r="F272" s="2">
        <v>0.61485199999999995</v>
      </c>
      <c r="G272" s="2">
        <v>0.7760800000000001</v>
      </c>
    </row>
    <row r="273" spans="1:7" x14ac:dyDescent="0.3">
      <c r="A273">
        <v>2880</v>
      </c>
      <c r="B273" t="s">
        <v>278</v>
      </c>
      <c r="C273" s="2">
        <v>-5.7340000000000004E-3</v>
      </c>
      <c r="D273" s="2">
        <v>4.8148999999999997E-2</v>
      </c>
      <c r="E273" s="2">
        <v>3.6062999999999998E-2</v>
      </c>
      <c r="F273" s="2">
        <v>-5.3883E-2</v>
      </c>
      <c r="G273" s="2">
        <v>-4.1797000000000001E-2</v>
      </c>
    </row>
    <row r="274" spans="1:7" x14ac:dyDescent="0.3">
      <c r="A274">
        <v>2881</v>
      </c>
      <c r="B274" t="s">
        <v>279</v>
      </c>
      <c r="C274" s="2">
        <v>6.9999999999999999E-6</v>
      </c>
      <c r="D274" s="2">
        <v>1.3669999999999999E-3</v>
      </c>
      <c r="E274" s="2">
        <v>-4.7199999999999998E-4</v>
      </c>
      <c r="F274" s="2">
        <v>-1.3600000000000001E-3</v>
      </c>
      <c r="G274" s="2">
        <v>4.7899999999999999E-4</v>
      </c>
    </row>
    <row r="275" spans="1:7" x14ac:dyDescent="0.3">
      <c r="A275">
        <v>2883</v>
      </c>
      <c r="B275" t="s">
        <v>280</v>
      </c>
      <c r="C275" s="2">
        <v>-1.3202E-2</v>
      </c>
      <c r="D275" s="2">
        <v>-6.4300000000000002E-4</v>
      </c>
      <c r="E275" s="2">
        <v>4.9969999999999997E-3</v>
      </c>
      <c r="F275" s="2">
        <v>-1.2559000000000001E-2</v>
      </c>
      <c r="G275" s="2">
        <v>-1.8199E-2</v>
      </c>
    </row>
    <row r="276" spans="1:7" x14ac:dyDescent="0.3">
      <c r="A276">
        <v>2884</v>
      </c>
      <c r="B276" t="s">
        <v>281</v>
      </c>
      <c r="C276" s="2">
        <v>-1.4959999999999999E-3</v>
      </c>
      <c r="D276" s="2">
        <v>-1.6149999999999999E-3</v>
      </c>
      <c r="E276" s="2">
        <v>-2.8400000000000002E-4</v>
      </c>
      <c r="F276" s="2">
        <v>1.1900000000000001E-4</v>
      </c>
      <c r="G276" s="2">
        <v>-1.212E-3</v>
      </c>
    </row>
    <row r="277" spans="1:7" x14ac:dyDescent="0.3">
      <c r="A277">
        <v>2897</v>
      </c>
      <c r="B277" t="s">
        <v>282</v>
      </c>
      <c r="C277" s="2"/>
      <c r="D277" s="2"/>
      <c r="E277" s="2">
        <v>-2.1949999999999999E-3</v>
      </c>
      <c r="F277" s="2"/>
      <c r="G277" s="2"/>
    </row>
    <row r="278" spans="1:7" x14ac:dyDescent="0.3">
      <c r="A278">
        <v>2900</v>
      </c>
      <c r="B278" t="s">
        <v>283</v>
      </c>
      <c r="C278" s="2">
        <v>6.7689999999999998E-3</v>
      </c>
      <c r="D278" s="2">
        <v>7.1599999999999995E-4</v>
      </c>
      <c r="E278" s="2">
        <v>-1.0023000000000001E-2</v>
      </c>
      <c r="F278" s="2">
        <v>6.0530000000000002E-3</v>
      </c>
      <c r="G278" s="2">
        <v>1.6792000000000001E-2</v>
      </c>
    </row>
    <row r="279" spans="1:7" x14ac:dyDescent="0.3">
      <c r="A279">
        <v>2905</v>
      </c>
      <c r="B279" t="s">
        <v>284</v>
      </c>
      <c r="C279" s="2">
        <v>4.0379999999999999E-3</v>
      </c>
      <c r="D279" s="2">
        <v>1.9376000000000001E-2</v>
      </c>
      <c r="E279" s="2">
        <v>6.0460000000000002E-3</v>
      </c>
      <c r="F279" s="2">
        <v>-1.5337999999999999E-2</v>
      </c>
      <c r="G279" s="2">
        <v>-2.0079999999999998E-3</v>
      </c>
    </row>
    <row r="280" spans="1:7" x14ac:dyDescent="0.3">
      <c r="A280">
        <v>2914</v>
      </c>
      <c r="B280" t="s">
        <v>285</v>
      </c>
      <c r="C280" s="2">
        <v>0.14091500000000001</v>
      </c>
      <c r="D280" s="2">
        <v>3.2649999999999998E-2</v>
      </c>
      <c r="E280" s="2">
        <v>0.163136</v>
      </c>
      <c r="F280" s="2">
        <v>0.108265</v>
      </c>
      <c r="G280" s="2">
        <v>-2.2220999999999991E-2</v>
      </c>
    </row>
    <row r="281" spans="1:7" x14ac:dyDescent="0.3">
      <c r="A281">
        <v>2929</v>
      </c>
      <c r="B281" t="s">
        <v>286</v>
      </c>
      <c r="C281" s="2">
        <v>0.55886800000000003</v>
      </c>
      <c r="D281" s="2">
        <v>-3.5840999999999998E-2</v>
      </c>
      <c r="E281" s="2">
        <v>3.555E-3</v>
      </c>
      <c r="F281" s="2">
        <v>0.59470900000000004</v>
      </c>
      <c r="G281" s="2">
        <v>0.55531300000000006</v>
      </c>
    </row>
    <row r="282" spans="1:7" x14ac:dyDescent="0.3">
      <c r="A282">
        <v>2932</v>
      </c>
      <c r="B282" t="s">
        <v>287</v>
      </c>
      <c r="C282" s="2">
        <v>1.603E-3</v>
      </c>
      <c r="D282" s="2">
        <v>7.3249999999999999E-3</v>
      </c>
      <c r="E282" s="2">
        <v>-1.2733E-2</v>
      </c>
      <c r="F282" s="2">
        <v>-5.7219999999999997E-3</v>
      </c>
      <c r="G282" s="2">
        <v>1.4336E-2</v>
      </c>
    </row>
    <row r="283" spans="1:7" x14ac:dyDescent="0.3">
      <c r="A283">
        <v>2960</v>
      </c>
      <c r="B283" t="s">
        <v>288</v>
      </c>
      <c r="C283" s="2"/>
      <c r="D283" s="2"/>
      <c r="E283" s="2">
        <v>-1.0643E-2</v>
      </c>
      <c r="F283" s="2"/>
      <c r="G283" s="2"/>
    </row>
    <row r="284" spans="1:7" x14ac:dyDescent="0.3">
      <c r="A284">
        <v>2964</v>
      </c>
      <c r="B284" t="s">
        <v>289</v>
      </c>
      <c r="C284" s="2">
        <v>6.1450000000000003E-3</v>
      </c>
      <c r="D284" s="2">
        <v>-4.8659999999999997E-3</v>
      </c>
      <c r="E284" s="2">
        <v>-2.3730000000000001E-3</v>
      </c>
      <c r="F284" s="2">
        <v>1.1011E-2</v>
      </c>
      <c r="G284" s="2">
        <v>8.5180000000000013E-3</v>
      </c>
    </row>
    <row r="285" spans="1:7" x14ac:dyDescent="0.3">
      <c r="A285">
        <v>2982</v>
      </c>
      <c r="B285" t="s">
        <v>290</v>
      </c>
      <c r="C285" s="2">
        <v>1.0694E-2</v>
      </c>
      <c r="D285" s="2">
        <v>1.3690000000000001E-2</v>
      </c>
      <c r="E285" s="2">
        <v>-7.1320000000000003E-3</v>
      </c>
      <c r="F285" s="2">
        <v>-2.996E-3</v>
      </c>
      <c r="G285" s="2">
        <v>1.7826000000000002E-2</v>
      </c>
    </row>
    <row r="286" spans="1:7" x14ac:dyDescent="0.3">
      <c r="A286">
        <v>2989</v>
      </c>
      <c r="B286" t="s">
        <v>291</v>
      </c>
      <c r="C286" s="2"/>
      <c r="D286" s="2">
        <v>-0.105882</v>
      </c>
      <c r="E286" s="2">
        <v>0.147318</v>
      </c>
      <c r="F286" s="2"/>
      <c r="G286" s="2"/>
    </row>
    <row r="287" spans="1:7" x14ac:dyDescent="0.3">
      <c r="A287">
        <v>2990</v>
      </c>
      <c r="B287" t="s">
        <v>292</v>
      </c>
      <c r="C287" s="2">
        <v>1.2520000000000001E-3</v>
      </c>
      <c r="D287" s="2">
        <v>4.398E-3</v>
      </c>
      <c r="E287" s="2">
        <v>1.225E-3</v>
      </c>
      <c r="F287" s="2">
        <v>-3.1459999999999999E-3</v>
      </c>
      <c r="G287" s="2">
        <v>2.7000000000000111E-5</v>
      </c>
    </row>
    <row r="288" spans="1:7" x14ac:dyDescent="0.3">
      <c r="A288">
        <v>2995</v>
      </c>
      <c r="B288" t="s">
        <v>293</v>
      </c>
      <c r="C288" s="2">
        <v>-4.3930000000000002E-3</v>
      </c>
      <c r="D288" s="2">
        <v>5.8539999999999998E-3</v>
      </c>
      <c r="E288" s="2">
        <v>1.1498E-2</v>
      </c>
      <c r="F288" s="2">
        <v>-1.0246999999999999E-2</v>
      </c>
      <c r="G288" s="2">
        <v>-1.5890999999999999E-2</v>
      </c>
    </row>
    <row r="289" spans="1:7" x14ac:dyDescent="0.3">
      <c r="A289">
        <v>2996</v>
      </c>
      <c r="B289" t="s">
        <v>294</v>
      </c>
      <c r="C289" s="2">
        <v>3.6210000000000001E-3</v>
      </c>
      <c r="D289" s="2">
        <v>1.92E-3</v>
      </c>
      <c r="E289" s="2">
        <v>1.2359999999999999E-3</v>
      </c>
      <c r="F289" s="2">
        <v>1.701E-3</v>
      </c>
      <c r="G289" s="2">
        <v>2.385E-3</v>
      </c>
    </row>
    <row r="290" spans="1:7" x14ac:dyDescent="0.3">
      <c r="A290">
        <v>2997</v>
      </c>
      <c r="B290" t="s">
        <v>295</v>
      </c>
      <c r="C290" s="2">
        <v>6.9249999999999997E-3</v>
      </c>
      <c r="D290" s="2">
        <v>1.7836000000000001E-2</v>
      </c>
      <c r="E290" s="2">
        <v>1.686E-3</v>
      </c>
      <c r="F290" s="2">
        <v>-1.0911000000000001E-2</v>
      </c>
      <c r="G290" s="2">
        <v>5.2389999999999997E-3</v>
      </c>
    </row>
    <row r="291" spans="1:7" x14ac:dyDescent="0.3">
      <c r="A291">
        <v>2998</v>
      </c>
      <c r="B291" t="s">
        <v>296</v>
      </c>
      <c r="C291" s="2">
        <v>2.6289999999999998E-3</v>
      </c>
      <c r="D291" s="2">
        <v>0.24717600000000001</v>
      </c>
      <c r="E291" s="2">
        <v>0.83576799999999996</v>
      </c>
      <c r="F291" s="2">
        <v>-0.24454699999999999</v>
      </c>
      <c r="G291" s="2">
        <v>-0.83313899999999996</v>
      </c>
    </row>
    <row r="292" spans="1:7" x14ac:dyDescent="0.3">
      <c r="A292">
        <v>3001</v>
      </c>
      <c r="B292" t="s">
        <v>297</v>
      </c>
      <c r="C292" s="2">
        <v>-0.117914</v>
      </c>
      <c r="D292" s="2">
        <v>-0.23654700000000001</v>
      </c>
      <c r="E292" s="2">
        <v>1.6202000000000001E-2</v>
      </c>
      <c r="F292" s="2">
        <v>0.118633</v>
      </c>
      <c r="G292" s="2">
        <v>-0.13411600000000001</v>
      </c>
    </row>
    <row r="293" spans="1:7" x14ac:dyDescent="0.3">
      <c r="A293">
        <v>3013</v>
      </c>
      <c r="B293" t="s">
        <v>298</v>
      </c>
      <c r="C293" s="2">
        <v>-9.7415000000000002E-2</v>
      </c>
      <c r="D293" s="2">
        <v>-4.7177999999999998E-2</v>
      </c>
      <c r="E293" s="2">
        <v>5.8562999999999997E-2</v>
      </c>
      <c r="F293" s="2">
        <v>-5.0236999999999997E-2</v>
      </c>
      <c r="G293" s="2">
        <v>-0.15597800000000001</v>
      </c>
    </row>
    <row r="294" spans="1:7" x14ac:dyDescent="0.3">
      <c r="A294">
        <v>3016</v>
      </c>
      <c r="B294" t="s">
        <v>299</v>
      </c>
      <c r="C294" s="2"/>
      <c r="D294" s="2"/>
      <c r="E294" s="2">
        <v>0.18185799999999999</v>
      </c>
      <c r="F294" s="2"/>
      <c r="G294" s="2"/>
    </row>
    <row r="295" spans="1:7" x14ac:dyDescent="0.3">
      <c r="A295">
        <v>3017</v>
      </c>
      <c r="B295" t="s">
        <v>300</v>
      </c>
      <c r="C295" s="2">
        <v>-1.99E-3</v>
      </c>
      <c r="D295" s="2">
        <v>1.5610000000000001E-3</v>
      </c>
      <c r="E295" s="2">
        <v>6.5700000000000003E-4</v>
      </c>
      <c r="F295" s="2">
        <v>-3.5509999999999999E-3</v>
      </c>
      <c r="G295" s="2">
        <v>-2.647E-3</v>
      </c>
    </row>
    <row r="296" spans="1:7" x14ac:dyDescent="0.3">
      <c r="A296">
        <v>3027</v>
      </c>
      <c r="B296" t="s">
        <v>301</v>
      </c>
      <c r="C296" s="2">
        <v>-1.0168E-2</v>
      </c>
      <c r="D296" s="2">
        <v>-7.4359999999999999E-3</v>
      </c>
      <c r="E296" s="2">
        <v>1.8E-3</v>
      </c>
      <c r="F296" s="2">
        <v>-2.7320000000000001E-3</v>
      </c>
      <c r="G296" s="2">
        <v>-1.1967999999999999E-2</v>
      </c>
    </row>
    <row r="297" spans="1:7" x14ac:dyDescent="0.3">
      <c r="A297">
        <v>3037</v>
      </c>
      <c r="B297" t="s">
        <v>302</v>
      </c>
      <c r="C297" s="2"/>
      <c r="D297" s="2"/>
      <c r="E297" s="2">
        <v>-3.7680000000000001E-3</v>
      </c>
      <c r="F297" s="2"/>
      <c r="G297" s="2"/>
    </row>
    <row r="298" spans="1:7" x14ac:dyDescent="0.3">
      <c r="A298">
        <v>3061</v>
      </c>
      <c r="B298" t="s">
        <v>303</v>
      </c>
      <c r="C298" s="2">
        <v>3.5763999999999997E-2</v>
      </c>
      <c r="D298" s="2">
        <v>0.23957400000000001</v>
      </c>
      <c r="E298" s="2">
        <v>2.7342999999999999E-2</v>
      </c>
      <c r="F298" s="2">
        <v>-0.20380999999999999</v>
      </c>
      <c r="G298" s="2">
        <v>8.4209999999999979E-3</v>
      </c>
    </row>
    <row r="299" spans="1:7" x14ac:dyDescent="0.3">
      <c r="A299">
        <v>3073</v>
      </c>
      <c r="B299" t="s">
        <v>304</v>
      </c>
      <c r="C299" s="2">
        <v>-0.27606000000000003</v>
      </c>
      <c r="D299" s="2">
        <v>-6.3877000000000003E-2</v>
      </c>
      <c r="E299" s="2">
        <v>-0.35087099999999999</v>
      </c>
      <c r="F299" s="2">
        <v>-0.21218300000000001</v>
      </c>
      <c r="G299" s="2">
        <v>7.4810999999999961E-2</v>
      </c>
    </row>
    <row r="300" spans="1:7" x14ac:dyDescent="0.3">
      <c r="A300">
        <v>3077</v>
      </c>
      <c r="B300" t="s">
        <v>305</v>
      </c>
      <c r="C300" s="2">
        <v>3.5850000000000001E-3</v>
      </c>
      <c r="D300" s="2">
        <v>1.134E-3</v>
      </c>
      <c r="E300" s="2">
        <v>-1.271E-3</v>
      </c>
      <c r="F300" s="2">
        <v>2.4510000000000001E-3</v>
      </c>
      <c r="G300" s="2">
        <v>4.8560000000000001E-3</v>
      </c>
    </row>
    <row r="301" spans="1:7" x14ac:dyDescent="0.3">
      <c r="A301">
        <v>3085</v>
      </c>
      <c r="B301" t="s">
        <v>306</v>
      </c>
      <c r="C301" s="2"/>
      <c r="D301" s="2"/>
      <c r="E301" s="2">
        <v>0.47233900000000001</v>
      </c>
      <c r="F301" s="2"/>
      <c r="G301" s="2"/>
    </row>
    <row r="302" spans="1:7" x14ac:dyDescent="0.3">
      <c r="A302">
        <v>3095</v>
      </c>
      <c r="B302" t="s">
        <v>307</v>
      </c>
      <c r="C302" s="2">
        <v>4.86E-4</v>
      </c>
      <c r="D302" s="2">
        <v>-1.158E-3</v>
      </c>
      <c r="E302" s="2">
        <v>1.5659999999999999E-3</v>
      </c>
      <c r="F302" s="2">
        <v>1.6440000000000001E-3</v>
      </c>
      <c r="G302" s="2">
        <v>-1.08E-3</v>
      </c>
    </row>
    <row r="303" spans="1:7" x14ac:dyDescent="0.3">
      <c r="A303">
        <v>3116</v>
      </c>
      <c r="B303" t="s">
        <v>308</v>
      </c>
      <c r="C303" s="2">
        <v>3.3199999999999999E-4</v>
      </c>
      <c r="D303" s="2">
        <v>-1.8029999999999999E-3</v>
      </c>
      <c r="E303" s="2">
        <v>-1.078E-3</v>
      </c>
      <c r="F303" s="2">
        <v>2.1350000000000002E-3</v>
      </c>
      <c r="G303" s="2">
        <v>1.41E-3</v>
      </c>
    </row>
    <row r="304" spans="1:7" x14ac:dyDescent="0.3">
      <c r="A304">
        <v>3122</v>
      </c>
      <c r="B304" t="s">
        <v>309</v>
      </c>
      <c r="C304" s="2"/>
      <c r="D304" s="2"/>
      <c r="E304" s="2">
        <v>-8.4599999999999996E-4</v>
      </c>
      <c r="F304" s="2"/>
      <c r="G304" s="2"/>
    </row>
    <row r="305" spans="1:7" x14ac:dyDescent="0.3">
      <c r="A305">
        <v>3124</v>
      </c>
      <c r="B305" t="s">
        <v>310</v>
      </c>
      <c r="C305" s="2">
        <v>3.7397E-2</v>
      </c>
      <c r="D305" s="2">
        <v>-7.1260000000000004E-3</v>
      </c>
      <c r="E305" s="2">
        <v>1.8898999999999999E-2</v>
      </c>
      <c r="F305" s="2">
        <v>4.4523E-2</v>
      </c>
      <c r="G305" s="2">
        <v>1.8498000000000001E-2</v>
      </c>
    </row>
    <row r="306" spans="1:7" x14ac:dyDescent="0.3">
      <c r="A306">
        <v>3136</v>
      </c>
      <c r="B306" t="s">
        <v>311</v>
      </c>
      <c r="C306" s="2">
        <v>-2.5300000000000002E-4</v>
      </c>
      <c r="D306" s="2">
        <v>4.7899999999999999E-4</v>
      </c>
      <c r="E306" s="2">
        <v>-1.9000000000000001E-5</v>
      </c>
      <c r="F306" s="2">
        <v>-7.3200000000000001E-4</v>
      </c>
      <c r="G306" s="2">
        <v>-2.34E-4</v>
      </c>
    </row>
    <row r="307" spans="1:7" x14ac:dyDescent="0.3">
      <c r="A307">
        <v>3138</v>
      </c>
      <c r="B307" t="s">
        <v>312</v>
      </c>
      <c r="C307" s="2">
        <v>3.6589999999999999E-3</v>
      </c>
      <c r="D307" s="2">
        <v>1.1505E-2</v>
      </c>
      <c r="E307" s="2">
        <v>1.3113E-2</v>
      </c>
      <c r="F307" s="2">
        <v>-7.8459999999999988E-3</v>
      </c>
      <c r="G307" s="2">
        <v>-9.4540000000000006E-3</v>
      </c>
    </row>
    <row r="308" spans="1:7" x14ac:dyDescent="0.3">
      <c r="A308">
        <v>3161</v>
      </c>
      <c r="B308" t="s">
        <v>313</v>
      </c>
      <c r="C308" s="2">
        <v>1.8026E-2</v>
      </c>
      <c r="D308" s="2">
        <v>1.2439E-2</v>
      </c>
      <c r="E308" s="2">
        <v>1.1979999999999999E-2</v>
      </c>
      <c r="F308" s="2">
        <v>5.587E-3</v>
      </c>
      <c r="G308" s="2">
        <v>6.046000000000001E-3</v>
      </c>
    </row>
    <row r="309" spans="1:7" x14ac:dyDescent="0.3">
      <c r="A309">
        <v>3166</v>
      </c>
      <c r="B309" t="s">
        <v>314</v>
      </c>
      <c r="C309" s="2">
        <v>0.422931</v>
      </c>
      <c r="D309" s="2">
        <v>0.31547500000000001</v>
      </c>
      <c r="E309" s="2">
        <v>0.65570300000000004</v>
      </c>
      <c r="F309" s="2">
        <v>0.107456</v>
      </c>
      <c r="G309" s="2">
        <v>-0.23277200000000001</v>
      </c>
    </row>
    <row r="310" spans="1:7" x14ac:dyDescent="0.3">
      <c r="A310">
        <v>3172</v>
      </c>
      <c r="B310" t="s">
        <v>315</v>
      </c>
      <c r="C310" s="2">
        <v>-3.3040000000000001E-3</v>
      </c>
      <c r="D310" s="2">
        <v>-1.616E-3</v>
      </c>
      <c r="E310" s="2">
        <v>7.7460000000000003E-3</v>
      </c>
      <c r="F310" s="2">
        <v>-1.688E-3</v>
      </c>
      <c r="G310" s="2">
        <v>-1.1050000000000001E-2</v>
      </c>
    </row>
    <row r="311" spans="1:7" x14ac:dyDescent="0.3">
      <c r="A311">
        <v>3173</v>
      </c>
      <c r="B311" t="s">
        <v>316</v>
      </c>
      <c r="C311" s="2">
        <v>-3.2337999999999999E-2</v>
      </c>
      <c r="D311" s="2">
        <v>-1.3256E-2</v>
      </c>
      <c r="E311" s="2">
        <v>1.3568999999999999E-2</v>
      </c>
      <c r="F311" s="2">
        <v>-1.9081999999999998E-2</v>
      </c>
      <c r="G311" s="2">
        <v>-4.5907000000000003E-2</v>
      </c>
    </row>
    <row r="312" spans="1:7" x14ac:dyDescent="0.3">
      <c r="A312">
        <v>3175</v>
      </c>
      <c r="B312" t="s">
        <v>317</v>
      </c>
      <c r="C312" s="2">
        <v>-1.6766E-2</v>
      </c>
      <c r="D312" s="2">
        <v>-3.5381999999999997E-2</v>
      </c>
      <c r="E312" s="2">
        <v>5.9550000000000002E-3</v>
      </c>
      <c r="F312" s="2">
        <v>1.8616000000000001E-2</v>
      </c>
      <c r="G312" s="2">
        <v>-2.2721000000000002E-2</v>
      </c>
    </row>
    <row r="313" spans="1:7" x14ac:dyDescent="0.3">
      <c r="A313">
        <v>3176</v>
      </c>
      <c r="B313" t="s">
        <v>318</v>
      </c>
      <c r="C313" s="2">
        <v>-1.406E-2</v>
      </c>
      <c r="D313" s="2">
        <v>0.14799300000000001</v>
      </c>
      <c r="E313" s="2">
        <v>-0.39102300000000001</v>
      </c>
      <c r="F313" s="2">
        <v>-0.162053</v>
      </c>
      <c r="G313" s="2">
        <v>0.37696299999999999</v>
      </c>
    </row>
    <row r="314" spans="1:7" x14ac:dyDescent="0.3">
      <c r="A314">
        <v>3184</v>
      </c>
      <c r="B314" t="s">
        <v>319</v>
      </c>
      <c r="C314" s="2">
        <v>3.9389999999999998E-3</v>
      </c>
      <c r="D314" s="2">
        <v>-2.1770000000000001E-3</v>
      </c>
      <c r="E314" s="2">
        <v>3.6129999999999999E-3</v>
      </c>
      <c r="F314" s="2">
        <v>6.1159999999999999E-3</v>
      </c>
      <c r="G314" s="2">
        <v>3.259999999999999E-4</v>
      </c>
    </row>
    <row r="315" spans="1:7" x14ac:dyDescent="0.3">
      <c r="A315">
        <v>3185</v>
      </c>
      <c r="B315" t="s">
        <v>320</v>
      </c>
      <c r="C315" s="2">
        <v>2.4546999999999999E-2</v>
      </c>
      <c r="D315" s="2">
        <v>1.1461000000000001E-2</v>
      </c>
      <c r="E315" s="2">
        <v>-8.0516000000000004E-2</v>
      </c>
      <c r="F315" s="2">
        <v>1.3086E-2</v>
      </c>
      <c r="G315" s="2">
        <v>0.105063</v>
      </c>
    </row>
    <row r="316" spans="1:7" x14ac:dyDescent="0.3">
      <c r="A316">
        <v>3194</v>
      </c>
      <c r="B316" t="s">
        <v>321</v>
      </c>
      <c r="C316" s="2">
        <v>-1.0846E-2</v>
      </c>
      <c r="D316" s="2">
        <v>0.17502200000000001</v>
      </c>
      <c r="E316" s="2">
        <v>8.9232000000000006E-2</v>
      </c>
      <c r="F316" s="2">
        <v>-0.18586800000000001</v>
      </c>
      <c r="G316" s="2">
        <v>-0.100078</v>
      </c>
    </row>
    <row r="317" spans="1:7" x14ac:dyDescent="0.3">
      <c r="A317">
        <v>3202</v>
      </c>
      <c r="B317" t="s">
        <v>322</v>
      </c>
      <c r="C317" s="2">
        <v>-1.3002E-2</v>
      </c>
      <c r="D317" s="2">
        <v>9.4742999999999994E-2</v>
      </c>
      <c r="E317" s="2">
        <v>4.6296999999999998E-2</v>
      </c>
      <c r="F317" s="2">
        <v>-0.10774499999999999</v>
      </c>
      <c r="G317" s="2">
        <v>-5.9298999999999998E-2</v>
      </c>
    </row>
    <row r="318" spans="1:7" x14ac:dyDescent="0.3">
      <c r="A318">
        <v>3207</v>
      </c>
      <c r="B318" t="s">
        <v>323</v>
      </c>
      <c r="C318" s="2">
        <v>-1.1887E-2</v>
      </c>
      <c r="D318" s="2">
        <v>2.9500000000000001E-4</v>
      </c>
      <c r="E318" s="2">
        <v>-3.0499999999999999E-4</v>
      </c>
      <c r="F318" s="2">
        <v>-1.2182E-2</v>
      </c>
      <c r="G318" s="2">
        <v>-1.1582E-2</v>
      </c>
    </row>
    <row r="319" spans="1:7" x14ac:dyDescent="0.3">
      <c r="A319">
        <v>3209</v>
      </c>
      <c r="B319" t="s">
        <v>324</v>
      </c>
      <c r="C319" s="2"/>
      <c r="D319" s="2"/>
      <c r="E319" s="2">
        <v>-7.2900000000000005E-4</v>
      </c>
      <c r="F319" s="2"/>
      <c r="G319" s="2"/>
    </row>
    <row r="320" spans="1:7" x14ac:dyDescent="0.3">
      <c r="A320">
        <v>3223</v>
      </c>
      <c r="B320" t="s">
        <v>325</v>
      </c>
      <c r="C320" s="2">
        <v>1.328E-3</v>
      </c>
      <c r="D320" s="2">
        <v>2.8310000000000002E-3</v>
      </c>
      <c r="E320" s="2">
        <v>3.1100000000000002E-4</v>
      </c>
      <c r="F320" s="2">
        <v>-1.503E-3</v>
      </c>
      <c r="G320" s="2">
        <v>1.0169999999999999E-3</v>
      </c>
    </row>
    <row r="321" spans="1:7" x14ac:dyDescent="0.3">
      <c r="A321">
        <v>3224</v>
      </c>
      <c r="B321" t="s">
        <v>326</v>
      </c>
      <c r="C321" s="2">
        <v>4.738E-3</v>
      </c>
      <c r="D321" s="2">
        <v>4.8380000000000003E-3</v>
      </c>
      <c r="E321" s="2">
        <v>-1.6570000000000001E-2</v>
      </c>
      <c r="F321" s="2">
        <v>-1.000000000000003E-4</v>
      </c>
      <c r="G321" s="2">
        <v>2.1308000000000001E-2</v>
      </c>
    </row>
    <row r="322" spans="1:7" x14ac:dyDescent="0.3">
      <c r="A322">
        <v>3231</v>
      </c>
      <c r="B322" t="s">
        <v>327</v>
      </c>
      <c r="C322" s="2">
        <v>-2.1589999999999999E-3</v>
      </c>
      <c r="D322" s="2">
        <v>-4.0200000000000001E-3</v>
      </c>
      <c r="E322" s="2">
        <v>-8.6899999999999998E-4</v>
      </c>
      <c r="F322" s="2">
        <v>1.861E-3</v>
      </c>
      <c r="G322" s="2">
        <v>-1.2899999999999999E-3</v>
      </c>
    </row>
    <row r="323" spans="1:7" x14ac:dyDescent="0.3">
      <c r="A323">
        <v>3235</v>
      </c>
      <c r="B323" t="s">
        <v>328</v>
      </c>
      <c r="C323" s="2">
        <v>5.2607000000000001E-2</v>
      </c>
      <c r="D323" s="2">
        <v>6.8331000000000003E-2</v>
      </c>
      <c r="E323" s="2">
        <v>4.6385000000000003E-2</v>
      </c>
      <c r="F323" s="2">
        <v>-1.5723999999999998E-2</v>
      </c>
      <c r="G323" s="2">
        <v>6.2219999999999984E-3</v>
      </c>
    </row>
    <row r="324" spans="1:7" x14ac:dyDescent="0.3">
      <c r="A324">
        <v>3242</v>
      </c>
      <c r="B324" t="s">
        <v>329</v>
      </c>
      <c r="C324" s="2">
        <v>-2.5479999999999999E-3</v>
      </c>
      <c r="D324" s="2">
        <v>-3.13E-3</v>
      </c>
      <c r="E324" s="2">
        <v>-5.0000000000000002E-5</v>
      </c>
      <c r="F324" s="2">
        <v>5.8200000000000005E-4</v>
      </c>
      <c r="G324" s="2">
        <v>-2.4979999999999998E-3</v>
      </c>
    </row>
    <row r="325" spans="1:7" x14ac:dyDescent="0.3">
      <c r="A325">
        <v>3245</v>
      </c>
      <c r="B325" t="s">
        <v>330</v>
      </c>
      <c r="C325" s="2">
        <v>-3.8809999999999999E-3</v>
      </c>
      <c r="D325" s="2">
        <v>-0.25845600000000002</v>
      </c>
      <c r="E325" s="2">
        <v>-4.4999999999999997E-3</v>
      </c>
      <c r="F325" s="2">
        <v>0.254575</v>
      </c>
      <c r="G325" s="2">
        <v>6.1899999999999976E-4</v>
      </c>
    </row>
    <row r="326" spans="1:7" x14ac:dyDescent="0.3">
      <c r="A326">
        <v>3247</v>
      </c>
      <c r="B326" t="s">
        <v>331</v>
      </c>
      <c r="C326" s="2">
        <v>-4.0799000000000002E-2</v>
      </c>
      <c r="D326" s="2">
        <v>-1.7524000000000001E-2</v>
      </c>
      <c r="E326" s="2">
        <v>-0.104603</v>
      </c>
      <c r="F326" s="2">
        <v>-2.3275000000000001E-2</v>
      </c>
      <c r="G326" s="2">
        <v>6.3804E-2</v>
      </c>
    </row>
    <row r="327" spans="1:7" x14ac:dyDescent="0.3">
      <c r="A327">
        <v>3252</v>
      </c>
      <c r="B327" t="s">
        <v>332</v>
      </c>
      <c r="C327" s="2">
        <v>0.18523899999999999</v>
      </c>
      <c r="D327" s="2">
        <v>-9.8696000000000006E-2</v>
      </c>
      <c r="E327" s="2">
        <v>-0.16800399999999999</v>
      </c>
      <c r="F327" s="2">
        <v>0.28393499999999999</v>
      </c>
      <c r="G327" s="2">
        <v>0.35324299999999997</v>
      </c>
    </row>
    <row r="328" spans="1:7" x14ac:dyDescent="0.3">
      <c r="A328">
        <v>3255</v>
      </c>
      <c r="B328" t="s">
        <v>333</v>
      </c>
      <c r="C328" s="2">
        <v>1.1587999999999999E-2</v>
      </c>
      <c r="D328" s="2">
        <v>-0.31727899999999998</v>
      </c>
      <c r="E328" s="2">
        <v>-0.358408</v>
      </c>
      <c r="F328" s="2">
        <v>0.32886700000000002</v>
      </c>
      <c r="G328" s="2">
        <v>0.36999599999999999</v>
      </c>
    </row>
    <row r="329" spans="1:7" x14ac:dyDescent="0.3">
      <c r="A329">
        <v>3257</v>
      </c>
      <c r="B329" t="s">
        <v>334</v>
      </c>
      <c r="C329" s="2">
        <v>1.8240000000000001E-3</v>
      </c>
      <c r="D329" s="2">
        <v>1.5594E-2</v>
      </c>
      <c r="E329" s="2">
        <v>1.7377E-2</v>
      </c>
      <c r="F329" s="2">
        <v>-1.3769999999999999E-2</v>
      </c>
      <c r="G329" s="2">
        <v>-1.5553000000000001E-2</v>
      </c>
    </row>
    <row r="330" spans="1:7" x14ac:dyDescent="0.3">
      <c r="A330">
        <v>3265</v>
      </c>
      <c r="B330" t="s">
        <v>335</v>
      </c>
      <c r="C330" s="2"/>
      <c r="D330" s="2"/>
      <c r="E330" s="2">
        <v>3.153E-3</v>
      </c>
      <c r="F330" s="2"/>
      <c r="G330" s="2"/>
    </row>
    <row r="331" spans="1:7" x14ac:dyDescent="0.3">
      <c r="A331">
        <v>3266</v>
      </c>
      <c r="B331" t="s">
        <v>336</v>
      </c>
      <c r="C331" s="2"/>
      <c r="D331" s="2"/>
      <c r="E331" s="2">
        <v>-8.1637000000000001E-2</v>
      </c>
      <c r="F331" s="2"/>
      <c r="G331" s="2"/>
    </row>
    <row r="332" spans="1:7" x14ac:dyDescent="0.3">
      <c r="A332">
        <v>3269</v>
      </c>
      <c r="B332" t="s">
        <v>337</v>
      </c>
      <c r="C332" s="2">
        <v>9.6599999999999995E-4</v>
      </c>
      <c r="D332" s="2">
        <v>3.8099999999999999E-4</v>
      </c>
      <c r="E332" s="2">
        <v>2.6050000000000001E-3</v>
      </c>
      <c r="F332" s="2">
        <v>5.8500000000000002E-4</v>
      </c>
      <c r="G332" s="2">
        <v>-1.639E-3</v>
      </c>
    </row>
    <row r="333" spans="1:7" x14ac:dyDescent="0.3">
      <c r="A333">
        <v>3271</v>
      </c>
      <c r="B333" t="s">
        <v>338</v>
      </c>
      <c r="C333" s="2">
        <v>-1.1157E-2</v>
      </c>
      <c r="D333" s="2">
        <v>-1.0782999999999999E-2</v>
      </c>
      <c r="E333" s="2">
        <v>-1.2644000000000001E-2</v>
      </c>
      <c r="F333" s="2">
        <v>-3.7400000000000112E-4</v>
      </c>
      <c r="G333" s="2">
        <v>1.487E-3</v>
      </c>
    </row>
    <row r="334" spans="1:7" x14ac:dyDescent="0.3">
      <c r="A334">
        <v>3279</v>
      </c>
      <c r="B334" t="s">
        <v>339</v>
      </c>
      <c r="C334" s="2">
        <v>-4.1850230000000002</v>
      </c>
      <c r="D334" s="2">
        <v>7.8188440000000003</v>
      </c>
      <c r="E334" s="2">
        <v>-7.0346209999999996</v>
      </c>
      <c r="F334" s="2">
        <v>-12.003867</v>
      </c>
      <c r="G334" s="2">
        <v>2.849597999999999</v>
      </c>
    </row>
    <row r="335" spans="1:7" x14ac:dyDescent="0.3">
      <c r="A335">
        <v>3287</v>
      </c>
      <c r="B335" t="s">
        <v>340</v>
      </c>
      <c r="C335" s="2">
        <v>5.7946999999999999E-2</v>
      </c>
      <c r="D335" s="2">
        <v>1.1709000000000001</v>
      </c>
      <c r="E335" s="2">
        <v>1.5321750000000001</v>
      </c>
      <c r="F335" s="2">
        <v>-1.1129530000000001</v>
      </c>
      <c r="G335" s="2">
        <v>-1.4742280000000001</v>
      </c>
    </row>
    <row r="336" spans="1:7" x14ac:dyDescent="0.3">
      <c r="A336">
        <v>3290</v>
      </c>
      <c r="B336" t="s">
        <v>341</v>
      </c>
      <c r="C336" s="2">
        <v>6.3447000000000003E-2</v>
      </c>
      <c r="D336" s="2">
        <v>1.8005E-2</v>
      </c>
      <c r="E336" s="2">
        <v>6.5341999999999997E-2</v>
      </c>
      <c r="F336" s="2">
        <v>4.5442000000000003E-2</v>
      </c>
      <c r="G336" s="2">
        <v>-1.8949999999999939E-3</v>
      </c>
    </row>
    <row r="337" spans="1:7" x14ac:dyDescent="0.3">
      <c r="A337">
        <v>3292</v>
      </c>
      <c r="B337" t="s">
        <v>342</v>
      </c>
      <c r="C337" s="2">
        <v>2.3804479999999999</v>
      </c>
      <c r="D337" s="2">
        <v>4.9187969999999996</v>
      </c>
      <c r="E337" s="2">
        <v>0.32587899999999997</v>
      </c>
      <c r="F337" s="2">
        <v>-2.5383490000000002</v>
      </c>
      <c r="G337" s="2">
        <v>2.0545689999999999</v>
      </c>
    </row>
    <row r="338" spans="1:7" x14ac:dyDescent="0.3">
      <c r="A338">
        <v>3293</v>
      </c>
      <c r="B338" t="s">
        <v>343</v>
      </c>
      <c r="C338" s="2">
        <v>3.4601E-2</v>
      </c>
      <c r="D338" s="2">
        <v>2.896E-2</v>
      </c>
      <c r="E338" s="2">
        <v>9.1079999999999998E-3</v>
      </c>
      <c r="F338" s="2">
        <v>5.6410000000000002E-3</v>
      </c>
      <c r="G338" s="2">
        <v>2.5492999999999998E-2</v>
      </c>
    </row>
    <row r="339" spans="1:7" x14ac:dyDescent="0.3">
      <c r="A339">
        <v>3294</v>
      </c>
      <c r="B339" t="s">
        <v>344</v>
      </c>
      <c r="C339" s="2">
        <v>0.67185399999999995</v>
      </c>
      <c r="D339" s="2">
        <v>0.52901799999999999</v>
      </c>
      <c r="E339" s="2">
        <v>0.28052899999999997</v>
      </c>
      <c r="F339" s="2">
        <v>0.14283599999999999</v>
      </c>
      <c r="G339" s="2">
        <v>0.39132499999999998</v>
      </c>
    </row>
    <row r="340" spans="1:7" x14ac:dyDescent="0.3">
      <c r="A340">
        <v>3296</v>
      </c>
      <c r="B340" t="s">
        <v>345</v>
      </c>
      <c r="C340" s="2">
        <v>1.4201999999999999E-2</v>
      </c>
      <c r="D340" s="2">
        <v>3.039E-3</v>
      </c>
      <c r="E340" s="2">
        <v>1.4010999999999999E-2</v>
      </c>
      <c r="F340" s="2">
        <v>1.1162999999999999E-2</v>
      </c>
      <c r="G340" s="2">
        <v>1.910000000000002E-4</v>
      </c>
    </row>
    <row r="341" spans="1:7" x14ac:dyDescent="0.3">
      <c r="A341">
        <v>3298</v>
      </c>
      <c r="B341" t="s">
        <v>346</v>
      </c>
      <c r="C341" s="2">
        <v>-2.5256000000000001E-2</v>
      </c>
      <c r="D341" s="2">
        <v>9.9571999999999994E-2</v>
      </c>
      <c r="E341" s="2">
        <v>3.653E-3</v>
      </c>
      <c r="F341" s="2">
        <v>-0.12482799999999999</v>
      </c>
      <c r="G341" s="2">
        <v>-2.8909000000000001E-2</v>
      </c>
    </row>
    <row r="342" spans="1:7" x14ac:dyDescent="0.3">
      <c r="A342">
        <v>3300</v>
      </c>
      <c r="B342" t="s">
        <v>347</v>
      </c>
      <c r="C342" s="2">
        <v>9.0066999999999994E-2</v>
      </c>
      <c r="D342" s="2">
        <v>6.9020000000000001E-3</v>
      </c>
      <c r="E342" s="2">
        <v>5.3566000000000003E-2</v>
      </c>
      <c r="F342" s="2">
        <v>8.3164999999999989E-2</v>
      </c>
      <c r="G342" s="2">
        <v>3.6500999999999992E-2</v>
      </c>
    </row>
    <row r="343" spans="1:7" x14ac:dyDescent="0.3">
      <c r="A343">
        <v>3303</v>
      </c>
      <c r="B343" t="s">
        <v>348</v>
      </c>
      <c r="C343" s="2">
        <v>-1.1672999999999999E-2</v>
      </c>
      <c r="D343" s="2">
        <v>8.9779999999999999E-3</v>
      </c>
      <c r="E343" s="2">
        <v>-6.234E-3</v>
      </c>
      <c r="F343" s="2">
        <v>-2.0650999999999999E-2</v>
      </c>
      <c r="G343" s="2">
        <v>-5.4389999999999994E-3</v>
      </c>
    </row>
    <row r="344" spans="1:7" x14ac:dyDescent="0.3">
      <c r="A344">
        <v>3306</v>
      </c>
      <c r="B344" t="s">
        <v>349</v>
      </c>
      <c r="C344" s="2">
        <v>-4.28E-4</v>
      </c>
      <c r="D344" s="2">
        <v>-2.104E-3</v>
      </c>
      <c r="E344" s="2">
        <v>3.1670000000000001E-3</v>
      </c>
      <c r="F344" s="2">
        <v>1.676E-3</v>
      </c>
      <c r="G344" s="2">
        <v>-3.5950000000000001E-3</v>
      </c>
    </row>
    <row r="345" spans="1:7" x14ac:dyDescent="0.3">
      <c r="A345">
        <v>3311</v>
      </c>
      <c r="B345" t="s">
        <v>350</v>
      </c>
      <c r="C345" s="2">
        <v>0.319303</v>
      </c>
      <c r="D345" s="2">
        <v>-1.9525000000000001E-2</v>
      </c>
      <c r="E345" s="2">
        <v>-0.20769299999999999</v>
      </c>
      <c r="F345" s="2">
        <v>0.33882800000000002</v>
      </c>
      <c r="G345" s="2">
        <v>0.52699600000000002</v>
      </c>
    </row>
    <row r="346" spans="1:7" x14ac:dyDescent="0.3">
      <c r="A346">
        <v>3312</v>
      </c>
      <c r="B346" t="s">
        <v>351</v>
      </c>
      <c r="C346" s="2"/>
      <c r="D346" s="2"/>
      <c r="E346" s="2">
        <v>6.7359999999999998E-3</v>
      </c>
      <c r="F346" s="2"/>
      <c r="G346" s="2"/>
    </row>
    <row r="347" spans="1:7" x14ac:dyDescent="0.3">
      <c r="A347">
        <v>3314</v>
      </c>
      <c r="B347" t="s">
        <v>352</v>
      </c>
      <c r="C347" s="2">
        <v>9.9830000000000006E-3</v>
      </c>
      <c r="D347" s="2">
        <v>9.2580000000000006E-3</v>
      </c>
      <c r="E347" s="2">
        <v>2.6973E-2</v>
      </c>
      <c r="F347" s="2">
        <v>7.2499999999999995E-4</v>
      </c>
      <c r="G347" s="2">
        <v>-1.6990000000000002E-2</v>
      </c>
    </row>
    <row r="348" spans="1:7" x14ac:dyDescent="0.3">
      <c r="A348">
        <v>3318</v>
      </c>
      <c r="B348" t="s">
        <v>353</v>
      </c>
      <c r="C348" s="2">
        <v>-5.0500000000000002E-4</v>
      </c>
      <c r="D348" s="2">
        <v>6.0000000000000002E-6</v>
      </c>
      <c r="E348" s="2">
        <v>8.4099999999999995E-4</v>
      </c>
      <c r="F348" s="2">
        <v>-5.1100000000000006E-4</v>
      </c>
      <c r="G348" s="2">
        <v>-1.346E-3</v>
      </c>
    </row>
    <row r="349" spans="1:7" x14ac:dyDescent="0.3">
      <c r="A349">
        <v>3324</v>
      </c>
      <c r="B349" t="s">
        <v>354</v>
      </c>
      <c r="C349" s="2">
        <v>1.6787E-2</v>
      </c>
      <c r="D349" s="2">
        <v>-1.6730999999999999E-2</v>
      </c>
      <c r="E349" s="2">
        <v>9.9410000000000002E-3</v>
      </c>
      <c r="F349" s="2">
        <v>3.3517999999999999E-2</v>
      </c>
      <c r="G349" s="2">
        <v>6.8459999999999997E-3</v>
      </c>
    </row>
    <row r="350" spans="1:7" x14ac:dyDescent="0.3">
      <c r="A350">
        <v>3328</v>
      </c>
      <c r="B350" t="s">
        <v>355</v>
      </c>
      <c r="C350" s="2">
        <v>0.35694900000000002</v>
      </c>
      <c r="D350" s="2">
        <v>0.11894</v>
      </c>
      <c r="E350" s="2">
        <v>0.12894600000000001</v>
      </c>
      <c r="F350" s="2">
        <v>0.238009</v>
      </c>
      <c r="G350" s="2">
        <v>0.22800300000000001</v>
      </c>
    </row>
    <row r="351" spans="1:7" x14ac:dyDescent="0.3">
      <c r="A351">
        <v>3330</v>
      </c>
      <c r="B351" t="s">
        <v>356</v>
      </c>
      <c r="C351" s="2">
        <v>0.26902300000000001</v>
      </c>
      <c r="D351" s="2">
        <v>6.0257999999999999E-2</v>
      </c>
      <c r="E351" s="2">
        <v>-0.20127700000000001</v>
      </c>
      <c r="F351" s="2">
        <v>0.20876500000000001</v>
      </c>
      <c r="G351" s="2">
        <v>0.47030000000000011</v>
      </c>
    </row>
    <row r="352" spans="1:7" x14ac:dyDescent="0.3">
      <c r="A352">
        <v>3332</v>
      </c>
      <c r="B352" t="s">
        <v>357</v>
      </c>
      <c r="C352" s="2"/>
      <c r="D352" s="2"/>
      <c r="E352" s="2">
        <v>3.1819999999999999E-3</v>
      </c>
      <c r="F352" s="2"/>
      <c r="G352" s="2"/>
    </row>
    <row r="353" spans="1:7" x14ac:dyDescent="0.3">
      <c r="A353">
        <v>3333</v>
      </c>
      <c r="B353" t="s">
        <v>358</v>
      </c>
      <c r="C353" s="2">
        <v>5.4143999999999998E-2</v>
      </c>
      <c r="D353" s="2">
        <v>-6.9119999999999997E-3</v>
      </c>
      <c r="E353" s="2">
        <v>5.8113999999999999E-2</v>
      </c>
      <c r="F353" s="2">
        <v>6.1055999999999999E-2</v>
      </c>
      <c r="G353" s="2">
        <v>-3.9700000000000013E-3</v>
      </c>
    </row>
    <row r="354" spans="1:7" x14ac:dyDescent="0.3">
      <c r="A354">
        <v>3337</v>
      </c>
      <c r="B354" t="s">
        <v>359</v>
      </c>
      <c r="C354" s="2">
        <v>9.5120999999999997E-2</v>
      </c>
      <c r="D354" s="2">
        <v>0.12828400000000001</v>
      </c>
      <c r="E354" s="2">
        <v>-8.1147999999999998E-2</v>
      </c>
      <c r="F354" s="2">
        <v>-3.3163000000000012E-2</v>
      </c>
      <c r="G354" s="2">
        <v>0.17626900000000001</v>
      </c>
    </row>
    <row r="355" spans="1:7" x14ac:dyDescent="0.3">
      <c r="A355">
        <v>3340</v>
      </c>
      <c r="B355" t="s">
        <v>360</v>
      </c>
      <c r="C355" s="2">
        <v>-1.217406</v>
      </c>
      <c r="D355" s="2">
        <v>-1.991668</v>
      </c>
      <c r="E355" s="2">
        <v>-0.25418800000000003</v>
      </c>
      <c r="F355" s="2">
        <v>0.77426200000000001</v>
      </c>
      <c r="G355" s="2">
        <v>-0.96321799999999991</v>
      </c>
    </row>
    <row r="356" spans="1:7" x14ac:dyDescent="0.3">
      <c r="A356">
        <v>3341</v>
      </c>
      <c r="B356" t="s">
        <v>361</v>
      </c>
      <c r="C356" s="2">
        <v>2.5249999999999999E-3</v>
      </c>
      <c r="D356" s="2">
        <v>2.3240000000000001E-3</v>
      </c>
      <c r="E356" s="2">
        <v>2.4000000000000001E-5</v>
      </c>
      <c r="F356" s="2">
        <v>2.0099999999999979E-4</v>
      </c>
      <c r="G356" s="2">
        <v>2.5010000000000002E-3</v>
      </c>
    </row>
    <row r="357" spans="1:7" x14ac:dyDescent="0.3">
      <c r="A357">
        <v>3344</v>
      </c>
      <c r="B357" t="s">
        <v>362</v>
      </c>
      <c r="C357" s="2"/>
      <c r="D357" s="2"/>
      <c r="E357" s="2">
        <v>5.1802000000000001E-2</v>
      </c>
      <c r="F357" s="2"/>
      <c r="G357" s="2"/>
    </row>
    <row r="358" spans="1:7" x14ac:dyDescent="0.3">
      <c r="A358">
        <v>3349</v>
      </c>
      <c r="B358" t="s">
        <v>363</v>
      </c>
      <c r="C358" s="2">
        <v>-1.404018</v>
      </c>
      <c r="D358" s="2">
        <v>-3.1537269999999999</v>
      </c>
      <c r="E358" s="2">
        <v>0.78186800000000001</v>
      </c>
      <c r="F358" s="2">
        <v>1.749709</v>
      </c>
      <c r="G358" s="2">
        <v>-2.185886</v>
      </c>
    </row>
    <row r="359" spans="1:7" x14ac:dyDescent="0.3">
      <c r="A359">
        <v>3351</v>
      </c>
      <c r="B359" t="s">
        <v>364</v>
      </c>
      <c r="C359" s="2">
        <v>-2.5166999999999998E-2</v>
      </c>
      <c r="D359" s="2">
        <v>-1.477E-2</v>
      </c>
      <c r="E359" s="2">
        <v>6.4440000000000001E-3</v>
      </c>
      <c r="F359" s="2">
        <v>-1.0397E-2</v>
      </c>
      <c r="G359" s="2">
        <v>-3.1611E-2</v>
      </c>
    </row>
    <row r="360" spans="1:7" x14ac:dyDescent="0.3">
      <c r="A360">
        <v>3354</v>
      </c>
      <c r="B360" t="s">
        <v>365</v>
      </c>
      <c r="C360" s="2">
        <v>0.192578</v>
      </c>
      <c r="D360" s="2">
        <v>0.45349800000000001</v>
      </c>
      <c r="E360" s="2">
        <v>-1.3983779999999999</v>
      </c>
      <c r="F360" s="2">
        <v>-0.26091999999999999</v>
      </c>
      <c r="G360" s="2">
        <v>1.590956</v>
      </c>
    </row>
    <row r="361" spans="1:7" x14ac:dyDescent="0.3">
      <c r="A361">
        <v>3365</v>
      </c>
      <c r="B361" t="s">
        <v>366</v>
      </c>
      <c r="C361" s="2">
        <v>1.5885E-2</v>
      </c>
      <c r="D361" s="2">
        <v>4.5690000000000001E-2</v>
      </c>
      <c r="E361" s="2">
        <v>-7.0398000000000002E-2</v>
      </c>
      <c r="F361" s="2">
        <v>-2.9805000000000002E-2</v>
      </c>
      <c r="G361" s="2">
        <v>8.6282999999999999E-2</v>
      </c>
    </row>
    <row r="362" spans="1:7" x14ac:dyDescent="0.3">
      <c r="A362">
        <v>3368</v>
      </c>
      <c r="B362" t="s">
        <v>367</v>
      </c>
      <c r="C362" s="2">
        <v>0.156634</v>
      </c>
      <c r="D362" s="2">
        <v>-0.50431199999999998</v>
      </c>
      <c r="E362" s="2">
        <v>-0.84924100000000002</v>
      </c>
      <c r="F362" s="2">
        <v>0.66094600000000003</v>
      </c>
      <c r="G362" s="2">
        <v>1.0058750000000001</v>
      </c>
    </row>
    <row r="363" spans="1:7" x14ac:dyDescent="0.3">
      <c r="A363">
        <v>3379</v>
      </c>
      <c r="B363" t="s">
        <v>368</v>
      </c>
      <c r="C363" s="2">
        <v>1.523E-3</v>
      </c>
      <c r="D363" s="2">
        <v>-1.686E-3</v>
      </c>
      <c r="E363" s="2">
        <v>-1.5529999999999999E-3</v>
      </c>
      <c r="F363" s="2">
        <v>3.209E-3</v>
      </c>
      <c r="G363" s="2">
        <v>3.0760000000000002E-3</v>
      </c>
    </row>
    <row r="364" spans="1:7" x14ac:dyDescent="0.3">
      <c r="A364">
        <v>3388</v>
      </c>
      <c r="B364" t="s">
        <v>369</v>
      </c>
      <c r="C364" s="2">
        <v>0.170545</v>
      </c>
      <c r="D364" s="2">
        <v>-0.20873900000000001</v>
      </c>
      <c r="E364" s="2">
        <v>-0.23330600000000001</v>
      </c>
      <c r="F364" s="2">
        <v>0.37928400000000001</v>
      </c>
      <c r="G364" s="2">
        <v>0.40385100000000002</v>
      </c>
    </row>
    <row r="365" spans="1:7" x14ac:dyDescent="0.3">
      <c r="A365">
        <v>3390</v>
      </c>
      <c r="B365" t="s">
        <v>370</v>
      </c>
      <c r="C365" s="2">
        <v>-2.1670000000000001E-3</v>
      </c>
      <c r="D365" s="2">
        <v>-4.2729999999999999E-3</v>
      </c>
      <c r="E365" s="2">
        <v>1.2867E-2</v>
      </c>
      <c r="F365" s="2">
        <v>2.1059999999999998E-3</v>
      </c>
      <c r="G365" s="2">
        <v>-1.5034E-2</v>
      </c>
    </row>
    <row r="366" spans="1:7" x14ac:dyDescent="0.3">
      <c r="A366">
        <v>3395</v>
      </c>
      <c r="B366" t="s">
        <v>371</v>
      </c>
      <c r="C366" s="2">
        <v>5.9096000000000003E-2</v>
      </c>
      <c r="D366" s="2">
        <v>-1.5533999999999999E-2</v>
      </c>
      <c r="E366" s="2">
        <v>0.65060499999999999</v>
      </c>
      <c r="F366" s="2">
        <v>7.4630000000000002E-2</v>
      </c>
      <c r="G366" s="2">
        <v>-0.59150899999999995</v>
      </c>
    </row>
    <row r="367" spans="1:7" x14ac:dyDescent="0.3">
      <c r="A367">
        <v>3396</v>
      </c>
      <c r="B367" t="s">
        <v>372</v>
      </c>
      <c r="C367" s="2"/>
      <c r="D367" s="2"/>
      <c r="E367" s="2">
        <v>-2.3939999999999999E-2</v>
      </c>
      <c r="F367" s="2"/>
      <c r="G367" s="2"/>
    </row>
    <row r="368" spans="1:7" x14ac:dyDescent="0.3">
      <c r="A368">
        <v>3397</v>
      </c>
      <c r="B368" t="s">
        <v>373</v>
      </c>
      <c r="C368" s="2"/>
      <c r="D368" s="2"/>
      <c r="E368" s="2">
        <v>5.6111000000000001E-2</v>
      </c>
      <c r="F368" s="2"/>
      <c r="G368" s="2"/>
    </row>
    <row r="369" spans="1:7" x14ac:dyDescent="0.3">
      <c r="A369">
        <v>3403</v>
      </c>
      <c r="B369" t="s">
        <v>374</v>
      </c>
      <c r="C369" s="2">
        <v>-2.9756000000000001E-2</v>
      </c>
      <c r="D369" s="2">
        <v>7.2646000000000002E-2</v>
      </c>
      <c r="E369" s="2">
        <v>2.0781999999999998E-2</v>
      </c>
      <c r="F369" s="2">
        <v>-0.10240200000000001</v>
      </c>
      <c r="G369" s="2">
        <v>-5.0538E-2</v>
      </c>
    </row>
    <row r="370" spans="1:7" x14ac:dyDescent="0.3">
      <c r="A370">
        <v>3407</v>
      </c>
      <c r="B370" t="s">
        <v>375</v>
      </c>
      <c r="C370" s="2">
        <v>1.2592000000000001E-2</v>
      </c>
      <c r="D370" s="2">
        <v>0.168237</v>
      </c>
      <c r="E370" s="2">
        <v>1.3533E-2</v>
      </c>
      <c r="F370" s="2">
        <v>-0.15564500000000001</v>
      </c>
      <c r="G370" s="2">
        <v>-9.4099999999999913E-4</v>
      </c>
    </row>
    <row r="371" spans="1:7" x14ac:dyDescent="0.3">
      <c r="A371">
        <v>3413</v>
      </c>
      <c r="B371" t="s">
        <v>376</v>
      </c>
      <c r="C371" s="2">
        <v>9.1384999999999994E-2</v>
      </c>
      <c r="D371" s="2">
        <v>3.32E-2</v>
      </c>
      <c r="E371" s="2">
        <v>0.11698699999999999</v>
      </c>
      <c r="F371" s="2">
        <v>5.8184999999999987E-2</v>
      </c>
      <c r="G371" s="2">
        <v>-2.5602E-2</v>
      </c>
    </row>
    <row r="372" spans="1:7" x14ac:dyDescent="0.3">
      <c r="A372">
        <v>3415</v>
      </c>
      <c r="B372" t="s">
        <v>377</v>
      </c>
      <c r="C372" s="2">
        <v>1.5E-5</v>
      </c>
      <c r="D372" s="2">
        <v>2.4399999999999999E-4</v>
      </c>
      <c r="E372" s="2">
        <v>-8.9800000000000004E-4</v>
      </c>
      <c r="F372" s="2">
        <v>-2.2900000000000001E-4</v>
      </c>
      <c r="G372" s="2">
        <v>9.1300000000000007E-4</v>
      </c>
    </row>
    <row r="373" spans="1:7" x14ac:dyDescent="0.3">
      <c r="A373">
        <v>3416</v>
      </c>
      <c r="B373" t="s">
        <v>378</v>
      </c>
      <c r="C373" s="2">
        <v>4.4819999999999999E-3</v>
      </c>
      <c r="D373" s="2">
        <v>1.8749999999999999E-3</v>
      </c>
      <c r="E373" s="2">
        <v>9.1730000000000006E-3</v>
      </c>
      <c r="F373" s="2">
        <v>2.6069999999999999E-3</v>
      </c>
      <c r="G373" s="2">
        <v>-4.6910000000000007E-3</v>
      </c>
    </row>
    <row r="374" spans="1:7" x14ac:dyDescent="0.3">
      <c r="A374">
        <v>3417</v>
      </c>
      <c r="B374" t="s">
        <v>379</v>
      </c>
      <c r="C374" s="2">
        <v>2.0171999999999999E-2</v>
      </c>
      <c r="D374" s="2">
        <v>4.7400000000000003E-3</v>
      </c>
      <c r="E374" s="2">
        <v>3.5720000000000001E-3</v>
      </c>
      <c r="F374" s="2">
        <v>1.5432E-2</v>
      </c>
      <c r="G374" s="2">
        <v>1.66E-2</v>
      </c>
    </row>
    <row r="375" spans="1:7" x14ac:dyDescent="0.3">
      <c r="A375">
        <v>3421</v>
      </c>
      <c r="B375" t="s">
        <v>380</v>
      </c>
      <c r="C375" s="2">
        <v>2.674E-2</v>
      </c>
      <c r="D375" s="2">
        <v>5.7803E-2</v>
      </c>
      <c r="E375" s="2">
        <v>2.4129000000000001E-2</v>
      </c>
      <c r="F375" s="2">
        <v>-3.1063E-2</v>
      </c>
      <c r="G375" s="2">
        <v>2.6109999999999992E-3</v>
      </c>
    </row>
    <row r="376" spans="1:7" x14ac:dyDescent="0.3">
      <c r="A376">
        <v>3427</v>
      </c>
      <c r="B376" t="s">
        <v>381</v>
      </c>
      <c r="C376" s="2">
        <v>5.9999999999999995E-4</v>
      </c>
      <c r="D376" s="2">
        <v>-4.0150000000000003E-3</v>
      </c>
      <c r="E376" s="2">
        <v>-1.305E-3</v>
      </c>
      <c r="F376" s="2">
        <v>4.6150000000000002E-3</v>
      </c>
      <c r="G376" s="2">
        <v>1.905E-3</v>
      </c>
    </row>
    <row r="377" spans="1:7" x14ac:dyDescent="0.3">
      <c r="A377">
        <v>3436</v>
      </c>
      <c r="B377" t="s">
        <v>382</v>
      </c>
      <c r="C377" s="2">
        <v>1.1554999999999999E-2</v>
      </c>
      <c r="D377" s="2">
        <v>3.0269000000000001E-2</v>
      </c>
      <c r="E377" s="2">
        <v>-2.199E-3</v>
      </c>
      <c r="F377" s="2">
        <v>-1.8714000000000001E-2</v>
      </c>
      <c r="G377" s="2">
        <v>1.3754000000000001E-2</v>
      </c>
    </row>
    <row r="378" spans="1:7" x14ac:dyDescent="0.3">
      <c r="A378">
        <v>3437</v>
      </c>
      <c r="B378" t="s">
        <v>383</v>
      </c>
      <c r="C378" s="2">
        <v>6.0600000000000003E-3</v>
      </c>
      <c r="D378" s="2">
        <v>3.3111000000000002E-2</v>
      </c>
      <c r="E378" s="2">
        <v>-1.8294999999999999E-2</v>
      </c>
      <c r="F378" s="2">
        <v>-2.7050999999999999E-2</v>
      </c>
      <c r="G378" s="2">
        <v>2.4355000000000002E-2</v>
      </c>
    </row>
    <row r="379" spans="1:7" x14ac:dyDescent="0.3">
      <c r="A379">
        <v>3446</v>
      </c>
      <c r="B379" t="s">
        <v>384</v>
      </c>
      <c r="C379" s="2">
        <v>7.077E-3</v>
      </c>
      <c r="D379" s="2">
        <v>-1.513E-3</v>
      </c>
      <c r="E379" s="2">
        <v>-1.7068E-2</v>
      </c>
      <c r="F379" s="2">
        <v>8.5900000000000004E-3</v>
      </c>
      <c r="G379" s="2">
        <v>2.4145E-2</v>
      </c>
    </row>
    <row r="380" spans="1:7" x14ac:dyDescent="0.3">
      <c r="A380">
        <v>3450</v>
      </c>
      <c r="B380" t="s">
        <v>385</v>
      </c>
      <c r="C380" s="2">
        <v>3.6347999999999998E-2</v>
      </c>
      <c r="D380" s="2">
        <v>-5.7444000000000002E-2</v>
      </c>
      <c r="E380" s="2">
        <v>-8.2246E-2</v>
      </c>
      <c r="F380" s="2">
        <v>9.3792E-2</v>
      </c>
      <c r="G380" s="2">
        <v>0.118594</v>
      </c>
    </row>
    <row r="381" spans="1:7" x14ac:dyDescent="0.3">
      <c r="A381">
        <v>3452</v>
      </c>
      <c r="B381" t="s">
        <v>386</v>
      </c>
      <c r="C381" s="2">
        <v>8.0900000000000004E-4</v>
      </c>
      <c r="D381" s="2">
        <v>-3.9914999999999999E-2</v>
      </c>
      <c r="E381" s="2">
        <v>6.0130000000000001E-3</v>
      </c>
      <c r="F381" s="2">
        <v>4.0724000000000003E-2</v>
      </c>
      <c r="G381" s="2">
        <v>-5.2040000000000003E-3</v>
      </c>
    </row>
    <row r="382" spans="1:7" x14ac:dyDescent="0.3">
      <c r="A382">
        <v>3454</v>
      </c>
      <c r="B382" t="s">
        <v>387</v>
      </c>
      <c r="C382" s="2">
        <v>1.0629999999999999E-3</v>
      </c>
      <c r="D382" s="2">
        <v>1.2290000000000001E-3</v>
      </c>
      <c r="E382" s="2">
        <v>-7.7785999999999994E-2</v>
      </c>
      <c r="F382" s="2">
        <v>-1.660000000000001E-4</v>
      </c>
      <c r="G382" s="2">
        <v>7.8848999999999989E-2</v>
      </c>
    </row>
    <row r="383" spans="1:7" x14ac:dyDescent="0.3">
      <c r="A383">
        <v>3456</v>
      </c>
      <c r="B383" t="s">
        <v>388</v>
      </c>
      <c r="C383" s="2"/>
      <c r="D383" s="2"/>
      <c r="E383" s="2"/>
      <c r="F383" s="2"/>
      <c r="G383" s="2"/>
    </row>
    <row r="384" spans="1:7" x14ac:dyDescent="0.3">
      <c r="A384">
        <v>3460</v>
      </c>
      <c r="B384" t="s">
        <v>389</v>
      </c>
      <c r="C384" s="2">
        <v>1.719E-3</v>
      </c>
      <c r="D384" s="2">
        <v>1.0059999999999999E-3</v>
      </c>
      <c r="E384" s="2">
        <v>-4.764E-3</v>
      </c>
      <c r="F384" s="2">
        <v>7.1300000000000009E-4</v>
      </c>
      <c r="G384" s="2">
        <v>6.483E-3</v>
      </c>
    </row>
    <row r="385" spans="1:7" x14ac:dyDescent="0.3">
      <c r="A385">
        <v>3463</v>
      </c>
      <c r="B385" t="s">
        <v>390</v>
      </c>
      <c r="C385" s="2">
        <v>4.2618000000000003E-2</v>
      </c>
      <c r="D385" s="2">
        <v>4.9342999999999998E-2</v>
      </c>
      <c r="E385" s="2">
        <v>-3.4280000000000001E-3</v>
      </c>
      <c r="F385" s="2">
        <v>-6.7249999999999949E-3</v>
      </c>
      <c r="G385" s="2">
        <v>4.6045999999999997E-2</v>
      </c>
    </row>
    <row r="386" spans="1:7" x14ac:dyDescent="0.3">
      <c r="A386">
        <v>3465</v>
      </c>
      <c r="B386" t="s">
        <v>391</v>
      </c>
      <c r="C386" s="2">
        <v>0.12002500000000001</v>
      </c>
      <c r="D386" s="2">
        <v>0.14826500000000001</v>
      </c>
      <c r="E386" s="2">
        <v>0.174178</v>
      </c>
      <c r="F386" s="2">
        <v>-2.8240000000000001E-2</v>
      </c>
      <c r="G386" s="2">
        <v>-5.4152999999999993E-2</v>
      </c>
    </row>
    <row r="387" spans="1:7" x14ac:dyDescent="0.3">
      <c r="A387">
        <v>3466</v>
      </c>
      <c r="B387" t="s">
        <v>392</v>
      </c>
      <c r="C387" s="2">
        <v>2.1072600000000001</v>
      </c>
      <c r="D387" s="2">
        <v>0.63838300000000003</v>
      </c>
      <c r="E387" s="2">
        <v>-1.5623849999999999</v>
      </c>
      <c r="F387" s="2">
        <v>1.468877</v>
      </c>
      <c r="G387" s="2">
        <v>3.669645</v>
      </c>
    </row>
    <row r="388" spans="1:7" x14ac:dyDescent="0.3">
      <c r="A388">
        <v>3467</v>
      </c>
      <c r="B388" t="s">
        <v>393</v>
      </c>
      <c r="C388" s="2">
        <v>4.5230000000000001E-3</v>
      </c>
      <c r="D388" s="2">
        <v>-1.207E-3</v>
      </c>
      <c r="E388" s="2">
        <v>4.0390000000000001E-3</v>
      </c>
      <c r="F388" s="2">
        <v>5.7299999999999999E-3</v>
      </c>
      <c r="G388" s="2">
        <v>4.8400000000000011E-4</v>
      </c>
    </row>
    <row r="389" spans="1:7" x14ac:dyDescent="0.3">
      <c r="A389">
        <v>3468</v>
      </c>
      <c r="B389" t="s">
        <v>394</v>
      </c>
      <c r="C389" s="2">
        <v>1.132E-2</v>
      </c>
      <c r="D389" s="2">
        <v>5.6220000000000003E-3</v>
      </c>
      <c r="E389" s="2">
        <v>1.2123999999999999E-2</v>
      </c>
      <c r="F389" s="2">
        <v>5.6979999999999999E-3</v>
      </c>
      <c r="G389" s="2">
        <v>-8.0399999999999916E-4</v>
      </c>
    </row>
    <row r="390" spans="1:7" x14ac:dyDescent="0.3">
      <c r="A390">
        <v>3470</v>
      </c>
      <c r="B390" t="s">
        <v>395</v>
      </c>
      <c r="C390" s="2">
        <v>0.16745199999999999</v>
      </c>
      <c r="D390" s="2">
        <v>4.0896000000000002E-2</v>
      </c>
      <c r="E390" s="2">
        <v>6.5215999999999996E-2</v>
      </c>
      <c r="F390" s="2">
        <v>0.126556</v>
      </c>
      <c r="G390" s="2">
        <v>0.10223599999999999</v>
      </c>
    </row>
    <row r="391" spans="1:7" x14ac:dyDescent="0.3">
      <c r="A391">
        <v>3473</v>
      </c>
      <c r="B391" t="s">
        <v>396</v>
      </c>
      <c r="C391" s="2">
        <v>2.8209999999999999E-2</v>
      </c>
      <c r="D391" s="2">
        <v>5.543E-2</v>
      </c>
      <c r="E391" s="2">
        <v>-0.188416</v>
      </c>
      <c r="F391" s="2">
        <v>-2.7220000000000001E-2</v>
      </c>
      <c r="G391" s="2">
        <v>0.21662600000000001</v>
      </c>
    </row>
    <row r="392" spans="1:7" x14ac:dyDescent="0.3">
      <c r="A392">
        <v>3475</v>
      </c>
      <c r="B392" t="s">
        <v>397</v>
      </c>
      <c r="C392" s="2">
        <v>0.116634</v>
      </c>
      <c r="D392" s="2">
        <v>8.2570000000000005E-3</v>
      </c>
      <c r="E392" s="2">
        <v>0.110444</v>
      </c>
      <c r="F392" s="2">
        <v>0.108377</v>
      </c>
      <c r="G392" s="2">
        <v>6.1900000000000011E-3</v>
      </c>
    </row>
    <row r="393" spans="1:7" x14ac:dyDescent="0.3">
      <c r="A393">
        <v>3479</v>
      </c>
      <c r="B393" t="s">
        <v>398</v>
      </c>
      <c r="C393" s="2">
        <v>4.6834000000000001E-2</v>
      </c>
      <c r="D393" s="2">
        <v>1.9338999999999999E-2</v>
      </c>
      <c r="E393" s="2">
        <v>6.9524000000000002E-2</v>
      </c>
      <c r="F393" s="2">
        <v>2.7494999999999999E-2</v>
      </c>
      <c r="G393" s="2">
        <v>-2.2689999999999998E-2</v>
      </c>
    </row>
    <row r="394" spans="1:7" x14ac:dyDescent="0.3">
      <c r="A394">
        <v>3481</v>
      </c>
      <c r="B394" t="s">
        <v>399</v>
      </c>
      <c r="C394" s="2"/>
      <c r="D394" s="2"/>
      <c r="E394" s="2">
        <v>-1.5635E-2</v>
      </c>
      <c r="F394" s="2"/>
      <c r="G394" s="2"/>
    </row>
    <row r="395" spans="1:7" x14ac:dyDescent="0.3">
      <c r="A395">
        <v>3482</v>
      </c>
      <c r="B395" t="s">
        <v>400</v>
      </c>
      <c r="C395" s="2">
        <v>0.12595400000000001</v>
      </c>
      <c r="D395" s="2">
        <v>9.0273999999999993E-2</v>
      </c>
      <c r="E395" s="2">
        <v>4.6168000000000001E-2</v>
      </c>
      <c r="F395" s="2">
        <v>3.5680000000000017E-2</v>
      </c>
      <c r="G395" s="2">
        <v>7.978600000000001E-2</v>
      </c>
    </row>
    <row r="396" spans="1:7" x14ac:dyDescent="0.3">
      <c r="A396">
        <v>3483</v>
      </c>
      <c r="B396" t="s">
        <v>401</v>
      </c>
      <c r="C396" s="2"/>
      <c r="D396" s="2">
        <v>-2.395E-3</v>
      </c>
      <c r="E396" s="2">
        <v>4.9100000000000001E-4</v>
      </c>
      <c r="F396" s="2"/>
      <c r="G396" s="2"/>
    </row>
    <row r="397" spans="1:7" x14ac:dyDescent="0.3">
      <c r="A397">
        <v>3486</v>
      </c>
      <c r="B397" t="s">
        <v>402</v>
      </c>
      <c r="C397" s="2">
        <v>-3.6670000000000001E-3</v>
      </c>
      <c r="D397" s="2">
        <v>5.4799999999999998E-4</v>
      </c>
      <c r="E397" s="2">
        <v>-1.1136E-2</v>
      </c>
      <c r="F397" s="2">
        <v>-4.215E-3</v>
      </c>
      <c r="G397" s="2">
        <v>7.4689999999999999E-3</v>
      </c>
    </row>
    <row r="398" spans="1:7" x14ac:dyDescent="0.3">
      <c r="A398">
        <v>3490</v>
      </c>
      <c r="B398" t="s">
        <v>403</v>
      </c>
      <c r="C398" s="2">
        <v>-4.9881000000000002E-2</v>
      </c>
      <c r="D398" s="2">
        <v>0.67200499999999996</v>
      </c>
      <c r="E398" s="2">
        <v>5.6565999999999998E-2</v>
      </c>
      <c r="F398" s="2">
        <v>-0.72188599999999992</v>
      </c>
      <c r="G398" s="2">
        <v>-0.106447</v>
      </c>
    </row>
    <row r="399" spans="1:7" x14ac:dyDescent="0.3">
      <c r="A399">
        <v>3494</v>
      </c>
      <c r="B399" t="s">
        <v>404</v>
      </c>
      <c r="C399" s="2">
        <v>0.18157599999999999</v>
      </c>
      <c r="D399" s="2">
        <v>-0.13713</v>
      </c>
      <c r="E399" s="2">
        <v>-0.15326699999999999</v>
      </c>
      <c r="F399" s="2">
        <v>0.31870599999999999</v>
      </c>
      <c r="G399" s="2">
        <v>0.334843</v>
      </c>
    </row>
    <row r="400" spans="1:7" x14ac:dyDescent="0.3">
      <c r="A400">
        <v>3495</v>
      </c>
      <c r="B400" t="s">
        <v>405</v>
      </c>
      <c r="C400" s="2"/>
      <c r="D400" s="2"/>
      <c r="E400" s="2">
        <v>2.8646999999999999E-2</v>
      </c>
      <c r="F400" s="2"/>
      <c r="G400" s="2"/>
    </row>
    <row r="401" spans="1:7" x14ac:dyDescent="0.3">
      <c r="A401">
        <v>3499</v>
      </c>
      <c r="B401" t="s">
        <v>406</v>
      </c>
      <c r="C401" s="2"/>
      <c r="D401" s="2"/>
      <c r="E401" s="2">
        <v>-1.3076000000000001E-2</v>
      </c>
      <c r="F401" s="2"/>
      <c r="G401" s="2"/>
    </row>
    <row r="402" spans="1:7" x14ac:dyDescent="0.3">
      <c r="A402">
        <v>3500</v>
      </c>
      <c r="B402" t="s">
        <v>407</v>
      </c>
      <c r="C402" s="2">
        <v>0.54632499999999995</v>
      </c>
      <c r="D402" s="2">
        <v>7.3952000000000004E-2</v>
      </c>
      <c r="E402" s="2">
        <v>0.31617600000000001</v>
      </c>
      <c r="F402" s="2">
        <v>0.47237299999999988</v>
      </c>
      <c r="G402" s="2">
        <v>0.23014899999999991</v>
      </c>
    </row>
    <row r="403" spans="1:7" x14ac:dyDescent="0.3">
      <c r="A403">
        <v>3505</v>
      </c>
      <c r="B403" t="s">
        <v>408</v>
      </c>
      <c r="C403" s="2">
        <v>-3.4000000000000002E-4</v>
      </c>
      <c r="D403" s="2">
        <v>-4.6999999999999997E-5</v>
      </c>
      <c r="E403" s="2">
        <v>2.8900000000000002E-3</v>
      </c>
      <c r="F403" s="2">
        <v>-2.9300000000000002E-4</v>
      </c>
      <c r="G403" s="2">
        <v>-3.2299999999999998E-3</v>
      </c>
    </row>
    <row r="404" spans="1:7" x14ac:dyDescent="0.3">
      <c r="A404">
        <v>3507</v>
      </c>
      <c r="B404" t="s">
        <v>409</v>
      </c>
      <c r="C404" s="2">
        <v>3.055E-3</v>
      </c>
      <c r="D404" s="2">
        <v>-6.9800000000000001E-3</v>
      </c>
      <c r="E404" s="2">
        <v>5.1599999999999997E-4</v>
      </c>
      <c r="F404" s="2">
        <v>1.0035000000000001E-2</v>
      </c>
      <c r="G404" s="2">
        <v>2.539E-3</v>
      </c>
    </row>
    <row r="405" spans="1:7" x14ac:dyDescent="0.3">
      <c r="A405">
        <v>3508</v>
      </c>
      <c r="B405" t="s">
        <v>410</v>
      </c>
      <c r="C405" s="2">
        <v>8.3100000000000003E-4</v>
      </c>
      <c r="D405" s="2">
        <v>1.3618999999999999E-2</v>
      </c>
      <c r="E405" s="2">
        <v>-1.0970000000000001E-3</v>
      </c>
      <c r="F405" s="2">
        <v>-1.2788000000000001E-2</v>
      </c>
      <c r="G405" s="2">
        <v>1.928E-3</v>
      </c>
    </row>
    <row r="406" spans="1:7" x14ac:dyDescent="0.3">
      <c r="A406">
        <v>3509</v>
      </c>
      <c r="B406" t="s">
        <v>411</v>
      </c>
      <c r="C406" s="2"/>
      <c r="D406" s="2"/>
      <c r="E406" s="2">
        <v>0</v>
      </c>
      <c r="F406" s="2"/>
      <c r="G406" s="2"/>
    </row>
    <row r="407" spans="1:7" x14ac:dyDescent="0.3">
      <c r="A407">
        <v>3510</v>
      </c>
      <c r="B407" t="s">
        <v>412</v>
      </c>
      <c r="C407" s="2">
        <v>0.118358</v>
      </c>
      <c r="D407" s="2">
        <v>0.10680099999999999</v>
      </c>
      <c r="E407" s="2">
        <v>0.23102</v>
      </c>
      <c r="F407" s="2">
        <v>1.155700000000001E-2</v>
      </c>
      <c r="G407" s="2">
        <v>-0.112662</v>
      </c>
    </row>
    <row r="408" spans="1:7" x14ac:dyDescent="0.3">
      <c r="A408">
        <v>3511</v>
      </c>
      <c r="B408" t="s">
        <v>413</v>
      </c>
      <c r="C408" s="2">
        <v>-1.3311999999999999E-2</v>
      </c>
      <c r="D408" s="2">
        <v>8.1429999999999992E-3</v>
      </c>
      <c r="E408" s="2">
        <v>-5.0419999999999996E-3</v>
      </c>
      <c r="F408" s="2">
        <v>-2.1454999999999998E-2</v>
      </c>
      <c r="G408" s="2">
        <v>-8.2699999999999996E-3</v>
      </c>
    </row>
    <row r="409" spans="1:7" x14ac:dyDescent="0.3">
      <c r="A409">
        <v>3512</v>
      </c>
      <c r="B409" t="s">
        <v>414</v>
      </c>
      <c r="C409" s="2">
        <v>1.4799999999999999E-4</v>
      </c>
      <c r="D409" s="2">
        <v>-1.836E-3</v>
      </c>
      <c r="E409" s="2">
        <v>3.3E-4</v>
      </c>
      <c r="F409" s="2">
        <v>1.9840000000000001E-3</v>
      </c>
      <c r="G409" s="2">
        <v>-1.8200000000000001E-4</v>
      </c>
    </row>
    <row r="410" spans="1:7" x14ac:dyDescent="0.3">
      <c r="A410">
        <v>3514</v>
      </c>
      <c r="B410" t="s">
        <v>415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</row>
    <row r="411" spans="1:7" x14ac:dyDescent="0.3">
      <c r="A411">
        <v>3515</v>
      </c>
      <c r="B411" t="s">
        <v>416</v>
      </c>
      <c r="C411" s="2">
        <v>2.6082999999999999E-2</v>
      </c>
      <c r="D411" s="2">
        <v>1.1644E-2</v>
      </c>
      <c r="E411" s="2">
        <v>4.7634999999999997E-2</v>
      </c>
      <c r="F411" s="2">
        <v>1.4439E-2</v>
      </c>
      <c r="G411" s="2">
        <v>-2.1552000000000002E-2</v>
      </c>
    </row>
    <row r="412" spans="1:7" x14ac:dyDescent="0.3">
      <c r="A412">
        <v>3516</v>
      </c>
      <c r="B412" t="s">
        <v>417</v>
      </c>
      <c r="C412" s="2">
        <v>-8.5140000000000007E-3</v>
      </c>
      <c r="D412" s="2">
        <v>-7.8279999999999999E-3</v>
      </c>
      <c r="E412" s="2">
        <v>-1.2367E-2</v>
      </c>
      <c r="F412" s="2">
        <v>-6.8600000000000085E-4</v>
      </c>
      <c r="G412" s="2">
        <v>3.8529999999999988E-3</v>
      </c>
    </row>
    <row r="413" spans="1:7" x14ac:dyDescent="0.3">
      <c r="A413">
        <v>3517</v>
      </c>
      <c r="B413" t="s">
        <v>418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</row>
    <row r="414" spans="1:7" x14ac:dyDescent="0.3">
      <c r="A414">
        <v>3518</v>
      </c>
      <c r="B414" t="s">
        <v>419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</row>
    <row r="415" spans="1:7" x14ac:dyDescent="0.3">
      <c r="A415">
        <v>3519</v>
      </c>
      <c r="B415" t="s">
        <v>420</v>
      </c>
      <c r="C415" s="2">
        <v>-5.7332000000000001E-2</v>
      </c>
      <c r="D415" s="2">
        <v>-4.9731999999999998E-2</v>
      </c>
      <c r="E415" s="2">
        <v>6.5510000000000004E-3</v>
      </c>
      <c r="F415" s="2">
        <v>-7.6000000000000026E-3</v>
      </c>
      <c r="G415" s="2">
        <v>-6.3882999999999995E-2</v>
      </c>
    </row>
    <row r="416" spans="1:7" x14ac:dyDescent="0.3">
      <c r="A416">
        <v>3520</v>
      </c>
      <c r="B416" t="s">
        <v>421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</row>
    <row r="417" spans="1:7" x14ac:dyDescent="0.3">
      <c r="A417">
        <v>3522</v>
      </c>
      <c r="B417" t="s">
        <v>422</v>
      </c>
      <c r="C417" s="2">
        <v>0.46367900000000001</v>
      </c>
      <c r="D417" s="2">
        <v>0.49443799999999999</v>
      </c>
      <c r="E417" s="2">
        <v>0.19358500000000001</v>
      </c>
      <c r="F417" s="2">
        <v>-3.0758999999999981E-2</v>
      </c>
      <c r="G417" s="2">
        <v>0.270094</v>
      </c>
    </row>
    <row r="418" spans="1:7" x14ac:dyDescent="0.3">
      <c r="A418">
        <v>3523</v>
      </c>
      <c r="B418" t="s">
        <v>423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</row>
    <row r="419" spans="1:7" x14ac:dyDescent="0.3">
      <c r="A419">
        <v>3524</v>
      </c>
      <c r="B419" t="s">
        <v>424</v>
      </c>
      <c r="C419" s="2">
        <v>4.0804E-2</v>
      </c>
      <c r="D419" s="2">
        <v>5.8302E-2</v>
      </c>
      <c r="E419" s="2">
        <v>3.8917E-2</v>
      </c>
      <c r="F419" s="2">
        <v>-1.7498E-2</v>
      </c>
      <c r="G419" s="2">
        <v>1.887E-3</v>
      </c>
    </row>
    <row r="420" spans="1:7" x14ac:dyDescent="0.3">
      <c r="A420">
        <v>3525</v>
      </c>
      <c r="B420" t="s">
        <v>425</v>
      </c>
      <c r="C420" s="2">
        <v>2.9534999999999999E-2</v>
      </c>
      <c r="D420" s="2">
        <v>3.6260000000000001E-2</v>
      </c>
      <c r="E420" s="2">
        <v>4.6620000000000003E-3</v>
      </c>
      <c r="F420" s="2">
        <v>-6.7250000000000018E-3</v>
      </c>
      <c r="G420" s="2">
        <v>2.4872999999999999E-2</v>
      </c>
    </row>
    <row r="421" spans="1:7" x14ac:dyDescent="0.3">
      <c r="A421">
        <v>3527</v>
      </c>
      <c r="B421" t="s">
        <v>426</v>
      </c>
      <c r="C421" s="2">
        <v>2.2258E-2</v>
      </c>
      <c r="D421" s="2">
        <v>-1.5914000000000001E-2</v>
      </c>
      <c r="E421" s="2">
        <v>1.0573000000000001E-2</v>
      </c>
      <c r="F421" s="2">
        <v>3.8171999999999998E-2</v>
      </c>
      <c r="G421" s="2">
        <v>1.1684999999999999E-2</v>
      </c>
    </row>
    <row r="422" spans="1:7" x14ac:dyDescent="0.3">
      <c r="A422">
        <v>3528</v>
      </c>
      <c r="B422" t="s">
        <v>427</v>
      </c>
      <c r="C422" s="2">
        <v>3.6076999999999998E-2</v>
      </c>
      <c r="D422" s="2">
        <v>-1.3207999999999999E-2</v>
      </c>
      <c r="E422" s="2">
        <v>-3.7288000000000002E-2</v>
      </c>
      <c r="F422" s="2">
        <v>4.9285000000000002E-2</v>
      </c>
      <c r="G422" s="2">
        <v>7.3365E-2</v>
      </c>
    </row>
    <row r="423" spans="1:7" x14ac:dyDescent="0.3">
      <c r="A423">
        <v>3529</v>
      </c>
      <c r="B423" t="s">
        <v>428</v>
      </c>
      <c r="C423" s="2">
        <v>-5.8389999999999996E-3</v>
      </c>
      <c r="D423" s="2">
        <v>6.7000000000000002E-5</v>
      </c>
      <c r="E423" s="2">
        <v>-7.6579999999999999E-3</v>
      </c>
      <c r="F423" s="2">
        <v>-5.9059999999999998E-3</v>
      </c>
      <c r="G423" s="2">
        <v>1.8190000000000001E-3</v>
      </c>
    </row>
    <row r="424" spans="1:7" x14ac:dyDescent="0.3">
      <c r="A424">
        <v>3530</v>
      </c>
      <c r="B424" t="s">
        <v>429</v>
      </c>
      <c r="C424" s="2"/>
      <c r="D424" s="2"/>
      <c r="E424" s="2">
        <v>1.83E-4</v>
      </c>
      <c r="F424" s="2"/>
      <c r="G424" s="2"/>
    </row>
    <row r="425" spans="1:7" x14ac:dyDescent="0.3">
      <c r="A425">
        <v>3532</v>
      </c>
      <c r="B425" t="s">
        <v>430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</row>
    <row r="426" spans="1:7" x14ac:dyDescent="0.3">
      <c r="A426">
        <v>3533</v>
      </c>
      <c r="B426" t="s">
        <v>431</v>
      </c>
      <c r="C426" s="2">
        <v>-3.826E-3</v>
      </c>
      <c r="D426" s="2">
        <v>-8.9890000000000005E-3</v>
      </c>
      <c r="E426" s="2">
        <v>-8.685E-3</v>
      </c>
      <c r="F426" s="2">
        <v>5.1630000000000009E-3</v>
      </c>
      <c r="G426" s="2">
        <v>4.8589999999999996E-3</v>
      </c>
    </row>
    <row r="427" spans="1:7" x14ac:dyDescent="0.3">
      <c r="A427">
        <v>3535</v>
      </c>
      <c r="B427" t="s">
        <v>432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</row>
    <row r="428" spans="1:7" x14ac:dyDescent="0.3">
      <c r="A428">
        <v>3536</v>
      </c>
      <c r="B428" t="s">
        <v>433</v>
      </c>
      <c r="C428" s="2">
        <v>-2.7820000000000002E-3</v>
      </c>
      <c r="D428" s="2">
        <v>-1.085E-3</v>
      </c>
      <c r="E428" s="2">
        <v>-2.9009999999999999E-3</v>
      </c>
      <c r="F428" s="2">
        <v>-1.6969999999999999E-3</v>
      </c>
      <c r="G428" s="2">
        <v>1.1899999999999969E-4</v>
      </c>
    </row>
    <row r="429" spans="1:7" x14ac:dyDescent="0.3">
      <c r="A429">
        <v>3538</v>
      </c>
      <c r="B429" t="s">
        <v>434</v>
      </c>
      <c r="C429" s="2">
        <v>8.2389999999999998E-3</v>
      </c>
      <c r="D429" s="2">
        <v>9.0849999999999993E-3</v>
      </c>
      <c r="E429" s="2">
        <v>-2.5469999999999998E-3</v>
      </c>
      <c r="F429" s="2">
        <v>-8.4599999999999953E-4</v>
      </c>
      <c r="G429" s="2">
        <v>1.0786E-2</v>
      </c>
    </row>
    <row r="430" spans="1:7" x14ac:dyDescent="0.3">
      <c r="A430">
        <v>3539</v>
      </c>
      <c r="B430" t="s">
        <v>435</v>
      </c>
      <c r="C430" s="2">
        <v>0.15252199999999999</v>
      </c>
      <c r="D430" s="2">
        <v>1.624E-3</v>
      </c>
      <c r="E430" s="2"/>
      <c r="F430" s="2">
        <v>0.150898</v>
      </c>
      <c r="G430" s="2"/>
    </row>
    <row r="431" spans="1:7" x14ac:dyDescent="0.3">
      <c r="A431">
        <v>3540</v>
      </c>
      <c r="B431" t="s">
        <v>436</v>
      </c>
      <c r="C431" s="2">
        <v>-8.4679999999999998E-3</v>
      </c>
      <c r="D431" s="2">
        <v>6.3029999999999996E-3</v>
      </c>
      <c r="E431" s="2"/>
      <c r="F431" s="2">
        <v>-1.4770999999999999E-2</v>
      </c>
      <c r="G431" s="2"/>
    </row>
  </sheetData>
  <autoFilter ref="A1:G431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A7" sqref="A7"/>
    </sheetView>
  </sheetViews>
  <sheetFormatPr defaultRowHeight="14.4" x14ac:dyDescent="0.3"/>
  <cols>
    <col min="1" max="1" width="42" customWidth="1"/>
    <col min="2" max="2" width="20" customWidth="1"/>
  </cols>
  <sheetData>
    <row r="1" spans="1:4" ht="17.399999999999999" x14ac:dyDescent="0.35">
      <c r="A1" s="3" t="s">
        <v>437</v>
      </c>
    </row>
    <row r="3" spans="1:4" ht="45" customHeight="1" x14ac:dyDescent="0.3">
      <c r="A3" t="s">
        <v>438</v>
      </c>
      <c r="B3" s="13" t="s">
        <v>439</v>
      </c>
      <c r="C3" s="14"/>
      <c r="D3" s="14"/>
    </row>
    <row r="5" spans="1:4" x14ac:dyDescent="0.3">
      <c r="A5" s="4" t="s">
        <v>440</v>
      </c>
      <c r="B5">
        <v>392</v>
      </c>
    </row>
    <row r="6" spans="1:4" x14ac:dyDescent="0.3">
      <c r="A6" s="4" t="s">
        <v>441</v>
      </c>
      <c r="B6">
        <v>383</v>
      </c>
    </row>
    <row r="7" spans="1:4" x14ac:dyDescent="0.3">
      <c r="A7" s="4" t="s">
        <v>442</v>
      </c>
      <c r="B7">
        <v>0</v>
      </c>
    </row>
    <row r="8" spans="1:4" x14ac:dyDescent="0.3">
      <c r="A8" s="4" t="s">
        <v>443</v>
      </c>
      <c r="B8">
        <v>5</v>
      </c>
    </row>
    <row r="9" spans="1:4" x14ac:dyDescent="0.3">
      <c r="A9" s="4" t="s">
        <v>444</v>
      </c>
      <c r="B9">
        <v>4</v>
      </c>
    </row>
    <row r="10" spans="1:4" x14ac:dyDescent="0.3">
      <c r="A10" s="4"/>
    </row>
    <row r="11" spans="1:4" x14ac:dyDescent="0.3">
      <c r="A11" s="4" t="s">
        <v>445</v>
      </c>
      <c r="B11" s="5">
        <v>240519</v>
      </c>
    </row>
    <row r="12" spans="1:4" x14ac:dyDescent="0.3">
      <c r="A12" s="4" t="s">
        <v>446</v>
      </c>
      <c r="B12">
        <v>1557</v>
      </c>
    </row>
  </sheetData>
  <mergeCells count="1"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dashboard</vt:lpstr>
      <vt:lpstr>data</vt:lpstr>
      <vt:lpstr>validation</vt:lpstr>
      <vt:lpstr>bank_names</vt:lpstr>
      <vt:lpstr>profit_abs</vt:lpstr>
      <vt:lpstr>profit_mom</vt:lpstr>
      <vt:lpstr>profit_yoy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Григорий Орлов</cp:lastModifiedBy>
  <dcterms:created xsi:type="dcterms:W3CDTF">2026-04-17T11:13:40Z</dcterms:created>
  <dcterms:modified xsi:type="dcterms:W3CDTF">2026-04-17T17:34:26Z</dcterms:modified>
</cp:coreProperties>
</file>